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Capt Yatendra\Downloads\"/>
    </mc:Choice>
  </mc:AlternateContent>
  <xr:revisionPtr revIDLastSave="0" documentId="8_{CFE69A79-9350-4E65-ACEB-56C82529CEE5}" xr6:coauthVersionLast="47" xr6:coauthVersionMax="47" xr10:uidLastSave="{00000000-0000-0000-0000-000000000000}"/>
  <bookViews>
    <workbookView xWindow="-110" yWindow="-110" windowWidth="19420" windowHeight="10300" xr2:uid="{F4C21663-B102-451A-B4B3-54CBFF336E25}"/>
  </bookViews>
  <sheets>
    <sheet name="GOLDEN FRIO OSM" sheetId="1" r:id="rId1"/>
  </sheets>
  <externalReferences>
    <externalReference r:id="rId2"/>
  </externalReferences>
  <definedNames>
    <definedName name="_xlnm._FilterDatabase" localSheetId="0" hidden="1">'GOLDEN FRIO OSM'!$A$1:$D$125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6" i="1" l="1"/>
  <c r="D146" i="1"/>
  <c r="F146" i="1" s="1"/>
  <c r="E145" i="1"/>
  <c r="D145" i="1"/>
  <c r="F145" i="1" s="1"/>
  <c r="E144" i="1"/>
  <c r="D144" i="1"/>
  <c r="F144" i="1" s="1"/>
  <c r="E143" i="1"/>
  <c r="D143" i="1"/>
  <c r="F143" i="1" s="1"/>
  <c r="E142" i="1"/>
  <c r="D142" i="1"/>
  <c r="F142" i="1" s="1"/>
  <c r="E141" i="1"/>
  <c r="D141" i="1"/>
  <c r="F141" i="1" s="1"/>
  <c r="E140" i="1"/>
  <c r="D140" i="1"/>
  <c r="F140" i="1" s="1"/>
  <c r="E137" i="1"/>
  <c r="D137" i="1"/>
  <c r="F137" i="1" s="1"/>
  <c r="E136" i="1"/>
  <c r="D136" i="1"/>
  <c r="F136" i="1" s="1"/>
  <c r="E135" i="1"/>
  <c r="D135" i="1"/>
  <c r="F135" i="1" s="1"/>
  <c r="E134" i="1"/>
  <c r="D134" i="1"/>
  <c r="F134" i="1" s="1"/>
  <c r="D129" i="1"/>
  <c r="D126" i="1"/>
  <c r="D128" i="1" s="1"/>
  <c r="D131" i="1" l="1"/>
  <c r="D130" i="1"/>
  <c r="D127" i="1"/>
</calcChain>
</file>

<file path=xl/sharedStrings.xml><?xml version="1.0" encoding="utf-8"?>
<sst xmlns="http://schemas.openxmlformats.org/spreadsheetml/2006/main" count="355" uniqueCount="236">
  <si>
    <t xml:space="preserve">Static assessment </t>
  </si>
  <si>
    <t>Section</t>
  </si>
  <si>
    <t>Sub sections</t>
  </si>
  <si>
    <t>Ratings ( 0-5) : 0 is when not applicable</t>
  </si>
  <si>
    <t>Comments</t>
  </si>
  <si>
    <t>Guidance note</t>
  </si>
  <si>
    <t>Company Policy</t>
  </si>
  <si>
    <t>Does the company have robust and detailed navigational policies and procedures?</t>
  </si>
  <si>
    <t>Satisfactory</t>
  </si>
  <si>
    <t xml:space="preserve">If SMS available in electronic format back up available in wheel house. </t>
  </si>
  <si>
    <t>Have all non-conformity from earlier assessments been closed out effectively?</t>
  </si>
  <si>
    <t>NS</t>
  </si>
  <si>
    <t xml:space="preserve">LaST Nav audit findings- Weather reports not signed by watchkeepers recurring. </t>
  </si>
  <si>
    <t>Does the company have thorough procedures for using ECDIS and does the bridge team fully understand their application?</t>
  </si>
  <si>
    <t xml:space="preserve">ENC used on overscale. </t>
  </si>
  <si>
    <t>Are the arrangements for standby conditions been discussed and documented as per company requirements?</t>
  </si>
  <si>
    <t xml:space="preserve">Pre port meeting log includes arrangement for standy by conditions. </t>
  </si>
  <si>
    <t>Does the bridge team fully understand the company UKC and air draft policy, its requirements and application?</t>
  </si>
  <si>
    <t>Are all the deck officers aware of the requirements of the company restricted visibility policy?</t>
  </si>
  <si>
    <t>Are essential/critical systems tests being carried out as per company requirements?</t>
  </si>
  <si>
    <t xml:space="preserve">Test of critical and essential systems Main engine, steering and recorded in logs in region where tests will not endanger own vessel. </t>
  </si>
  <si>
    <t>Are the requirements of the company anchoring procedures understood?</t>
  </si>
  <si>
    <t xml:space="preserve">Anchoring requirements: Swing circle marking , approach,noting position and bearing when let go.  </t>
  </si>
  <si>
    <t>Do the Master’s standing orders incorporate and comply with the minimum company requirements, and are they appropriate?</t>
  </si>
  <si>
    <t xml:space="preserve">Finding Noted </t>
  </si>
  <si>
    <r>
      <t xml:space="preserve">Masters Standing Orders: 
1. </t>
    </r>
    <r>
      <rPr>
        <sz val="11"/>
        <color rgb="FFFF0000"/>
        <rFont val="Calibri"/>
        <family val="2"/>
        <scheme val="minor"/>
      </rPr>
      <t>Signed by Signed by all watchkeepers and lookouts.</t>
    </r>
    <r>
      <rPr>
        <sz val="11"/>
        <color theme="1"/>
        <rFont val="Calibri"/>
        <family val="2"/>
        <scheme val="minor"/>
      </rPr>
      <t xml:space="preserve">
2.</t>
    </r>
    <r>
      <rPr>
        <sz val="11"/>
        <color rgb="FFFF0000"/>
        <rFont val="Calibri"/>
        <family val="2"/>
        <scheme val="minor"/>
      </rPr>
      <t xml:space="preserve"> Includes Instruictions when vessel temporarily outside XTD. </t>
    </r>
  </si>
  <si>
    <t>Are the company requirements regarding bridge orders being complied with?</t>
  </si>
  <si>
    <t xml:space="preserve">Bridge Order Book. 
1. Every night when vessel at sea. 
2. Hand written. 
3. Signed by OOW. </t>
  </si>
  <si>
    <t>Is the working language used on board as per company requirements?</t>
  </si>
  <si>
    <t>Are bridge manning levels being maintained as per company requirements?</t>
  </si>
  <si>
    <t xml:space="preserve">Brdige Manning level should cover all aspects of voyage:
1. Day, Night, Coastal, Manoeuvering, Stand By, Pilotage etc. </t>
  </si>
  <si>
    <t>Is the deck logbook/bell book being maintained as per company requirements?</t>
  </si>
  <si>
    <r>
      <t>Deck Log Book:
1.Log of all activities detail enough to restore complete record of voayge. 
2.</t>
    </r>
    <r>
      <rPr>
        <sz val="11"/>
        <color rgb="FFFF0000"/>
        <rFont val="Calibri"/>
        <family val="2"/>
        <scheme val="minor"/>
      </rPr>
      <t xml:space="preserve"> Record of review of Passsage plan by Master and Bridge team in Deck log book or Bell book. Record of pre arrival and debriefings. </t>
    </r>
    <r>
      <rPr>
        <sz val="11"/>
        <color theme="1"/>
        <rFont val="Calibri"/>
        <family val="2"/>
        <scheme val="minor"/>
      </rPr>
      <t xml:space="preserve">
3. Log of change over fro auto to manual and vice versa.
4. </t>
    </r>
    <r>
      <rPr>
        <sz val="11"/>
        <color rgb="FFFF0000"/>
        <rFont val="Calibri"/>
        <family val="2"/>
        <scheme val="minor"/>
      </rPr>
      <t>Operational functional check of VDR in deck log book, bell book or CL.</t>
    </r>
    <r>
      <rPr>
        <sz val="11"/>
        <color theme="1"/>
        <rFont val="Calibri"/>
        <family val="2"/>
        <scheme val="minor"/>
      </rPr>
      <t xml:space="preserve">  
5. Log of safety rounds. </t>
    </r>
  </si>
  <si>
    <t>Are familiarisation and training records available and is training actively promoted on board?</t>
  </si>
  <si>
    <t xml:space="preserve">Familiarisation record should include:
1. Familiarisation of Watchkeeping officers, Helmsman with aspects of their responsibility inclduing Radar, ECDIS, GMDSS. </t>
  </si>
  <si>
    <t>Do officers and the Master write formal handover notes and is the status of bridge equipment sufficiently detailed?</t>
  </si>
  <si>
    <t>Passage Planning</t>
  </si>
  <si>
    <t>Has a robust passage plan for the current voyage been prepared?</t>
  </si>
  <si>
    <t xml:space="preserve">Berth to Berth signed by Bridge team and Master.  </t>
  </si>
  <si>
    <t>Has a robust passage plan been prepared on ECDIS and have safety contours and safety depths been correctly set?</t>
  </si>
  <si>
    <t xml:space="preserve">Previous voyage track and markings not deleted. PI not marked. User map marking key subjects missing. </t>
  </si>
  <si>
    <r>
      <t xml:space="preserve">Safety depth and Safety Contours for all stage of voyages and same marked on ECDIS. When Route cross Safety contour:
1. </t>
    </r>
    <r>
      <rPr>
        <sz val="11"/>
        <color rgb="FFFF0000"/>
        <rFont val="Calibri"/>
        <family val="2"/>
        <scheme val="minor"/>
      </rPr>
      <t xml:space="preserve">It is mandatory to mark manual NO GO AREA. 
Authorisation from Master. 
</t>
    </r>
    <r>
      <rPr>
        <sz val="11"/>
        <color theme="1"/>
        <rFont val="Calibri"/>
        <family val="2"/>
        <scheme val="minor"/>
      </rPr>
      <t xml:space="preserve">3. When CATZOC C,D,U increase safety depth more then dynamic UKC. 
4. XTD considering dangers in vicinity for each leg of voyage. </t>
    </r>
  </si>
  <si>
    <t>Are all charts properly corrected and up to date?</t>
  </si>
  <si>
    <t>Is the chart management system being maintained as per company requirements?</t>
  </si>
  <si>
    <t>ENC on boaard and updated</t>
  </si>
  <si>
    <t>Are all relevant nautical publications up to date and readily available to the bridge team?</t>
  </si>
  <si>
    <t xml:space="preserve"> on boaard and updated</t>
  </si>
  <si>
    <t>Have navigation warnings and T&amp;Ps been applied to the charts for the current voyage?</t>
  </si>
  <si>
    <t>Nav Warnings and Navtex. 
1. Sigend by all duty officers. 
2. Update as Manual update list on ECDIS</t>
  </si>
  <si>
    <t>Is the passage plan reviewed prior to departure by the Master and the bridge team?</t>
  </si>
  <si>
    <t xml:space="preserve">Previous voyage track not deleted. </t>
  </si>
  <si>
    <t>Passage plan signed by Master and NAV OFFICERS. Records of reviews should be made in the deck logbook/bell book.</t>
  </si>
  <si>
    <t>Is the passage debriefed on completion of a voyage?</t>
  </si>
  <si>
    <t xml:space="preserve">Record of debrief of passaage plaans in deck log book and bell book. </t>
  </si>
  <si>
    <t>Is a toolbox talk held prior to entering confined waters or a standby condition?</t>
  </si>
  <si>
    <t xml:space="preserve">No Records in log books. </t>
  </si>
  <si>
    <t xml:space="preserve">Record of tool box talk of Bridge team prior entering confined waters in Deck Log book and Bell book. </t>
  </si>
  <si>
    <t>Is there evidence of position fixing being carried out as per company requirements for the entire voyage?</t>
  </si>
  <si>
    <t xml:space="preserve">Position fixing intervals and methods identified. Intervals commensurate and practical to ensure vessel cannot run into danger between fixes. </t>
  </si>
  <si>
    <t>Bridge Equipment</t>
  </si>
  <si>
    <t>Is all navigational and communication equipment fully operational?</t>
  </si>
  <si>
    <t xml:space="preserve">Satisfactory. </t>
  </si>
  <si>
    <t>Has the emergency steering gear been tested as per Flag State and company requirements?</t>
  </si>
  <si>
    <t xml:space="preserve">Log of steering test prior arrival. </t>
  </si>
  <si>
    <t>Is manual steering used as per company requirements?</t>
  </si>
  <si>
    <t xml:space="preserve">Use of manual steering in areas of high traffic and logged. Manual steering should be engaged when navigating in restricted waters, in areas of high traffic density and in all other hazardous navigational situations. </t>
  </si>
  <si>
    <t>Are gyro compass(es) and repeaters aligned and properly maintained?</t>
  </si>
  <si>
    <t>Is the magnetic compass in good condition and are deviations broadly aligned with the deviation card?</t>
  </si>
  <si>
    <t xml:space="preserve">Recod of Compass error and deviations. </t>
  </si>
  <si>
    <t>Are radars and ARPA fully operational and properly maintained?</t>
  </si>
  <si>
    <t>STW, Settings alarms</t>
  </si>
  <si>
    <t>Is the Automatic Identification System operational and properly set up?</t>
  </si>
  <si>
    <t>Is the GPS properly set up, fully operational and being used as per company requirements</t>
  </si>
  <si>
    <t>Is the echo sounder fully operational and used as per company requirements?</t>
  </si>
  <si>
    <t xml:space="preserve">Echo Sounder use: 
1. Echo sounder performance prior using to verify recorded depths. Log
2. Alarms if any adequate. 
3. Date/Time marked, CROSS REFERENCING. </t>
  </si>
  <si>
    <t>Is NAVTEX correctly programmed and are messages being managed correctly?</t>
  </si>
  <si>
    <t>Is the ECDIS type-approved, are ENCs fully up to date and is the ECDIS set up as per company requirements?</t>
  </si>
  <si>
    <t>Is ECDIS software maintained and updated to the relevant IHO standards?</t>
  </si>
  <si>
    <t>Are Very High Frequency radios fully operable and is communications protocol thoroughly understood?</t>
  </si>
  <si>
    <t>Is the daylight signalling lamp able to operate on a secondary source of power?</t>
  </si>
  <si>
    <t>Is the off-course alarm properly set up and in use?</t>
  </si>
  <si>
    <t>Are rudder angle, RPM, variable pitch, rate of turn and bow/stern thruster indicators all in good working order?</t>
  </si>
  <si>
    <t>Are the vessel’s shapes, whistle, bell and gong in good order?</t>
  </si>
  <si>
    <t>Is the autopilot in good order?</t>
  </si>
  <si>
    <t>Are all internal communication systems in good order?</t>
  </si>
  <si>
    <t>Is the speed and distance measuring device fully operational?</t>
  </si>
  <si>
    <t>Is the VDR fully operational and used as per company requirements?</t>
  </si>
  <si>
    <t>Is the course recorder being maintained as per company requirements?</t>
  </si>
  <si>
    <t>Are navigation lights in good order?</t>
  </si>
  <si>
    <t>Is the weather fax or an equivalent digital programme fully operational?</t>
  </si>
  <si>
    <t>Are the vessel’s manoeuvring characteristics displayed on the bridge?</t>
  </si>
  <si>
    <t xml:space="preserve">Wheel house poster and manoeuvering characterstics aligned with Pilot Card. </t>
  </si>
  <si>
    <t>Is the engine data logger maintained as per company requirements?</t>
  </si>
  <si>
    <t>Is the Long Range Identification and Tracking system being maintained as per company requirements?</t>
  </si>
  <si>
    <t>Is the GMDSS equipment kept in good working order and are officers fully familiar with its use?</t>
  </si>
  <si>
    <t>Is the Bridge Navigational Watch Alarm System fully operational at all times when the vessel is not alongside?</t>
  </si>
  <si>
    <t>Forms and Checklists</t>
  </si>
  <si>
    <t>Has a pre-arrival exchange of information between the ship and port authority been conducted?</t>
  </si>
  <si>
    <t>Pre arrival exchange with port authority satisfactory</t>
  </si>
  <si>
    <t>Has the Master/Pilot information exchange form been fully completed?</t>
  </si>
  <si>
    <t xml:space="preserve">MPEX: 
1. Details including weather completed in entity , no blanks , mark NA. Including Air Draft. </t>
  </si>
  <si>
    <t>Is the UKC being calculated correctly?</t>
  </si>
  <si>
    <t>UKC caLculation correct ad complete. CATZOC, SHALLOW WATER CONTOURS</t>
  </si>
  <si>
    <t>Are checklists for pre-arrival, pre-departure, watch handover, steering gear tests, Master/Pilot exchange and Pilot card effectively completed?</t>
  </si>
  <si>
    <t xml:space="preserve">All opther CLS complete and signed offf correctly. </t>
  </si>
  <si>
    <t>Are periodic checks on navigational equipment being conducted as per company requirements?</t>
  </si>
  <si>
    <t>Are all other navigational checklists completed and signed off correctly?</t>
  </si>
  <si>
    <t>Are bridge checklists, logbooks and the printouts from digital equipment being retained as per company requirements?</t>
  </si>
  <si>
    <t>Dynamic Assessment Template</t>
  </si>
  <si>
    <t>The Master applies overriding authority and responsibility effectively.</t>
  </si>
  <si>
    <t xml:space="preserve">Responsibility and overriding authority of Master:
1. Communications with Brdge Team Open and clearly understood.  
2. Always situationally aware, to separate finer points from overall picture.
3. Team Awarness: Nor complacent, nor over pressurised, fatigued. 
4. Following best practises avoiding short cuts. 
5. Promoting team work. </t>
  </si>
  <si>
    <t>The requirements of the company’s navigation policies and procedures are fully satisfied</t>
  </si>
  <si>
    <t xml:space="preserve">Masters nav assessmnet after joining. Standing orders explaanation. </t>
  </si>
  <si>
    <t>The bridge team is familiar and always compliant with the company restricted visibility policy.</t>
  </si>
  <si>
    <t xml:space="preserve">Familiarity and comliance of Brdige team with RV reqquirements. </t>
  </si>
  <si>
    <t>Standby conditions are discussed and documented well before the event, and all company requirements for standby are being met in full.</t>
  </si>
  <si>
    <t>Company anchoring procedures are understood and complied with.</t>
  </si>
  <si>
    <t xml:space="preserve">Anchoring procedures compliance: 
1. Asnchors kept ready for use. 
2. Personeel Stand by. 
3. Anchoring position identified in advance. 
4. Test of windlass and brakes prior anchoring. Test communications. 
5. Record an dmark position, swinging circle, bearings. </t>
  </si>
  <si>
    <t>Bridge team organisation</t>
  </si>
  <si>
    <t>The manning level of the bridge is adequate at all times.</t>
  </si>
  <si>
    <t xml:space="preserve">1. Adequate manning. 
2. Prevent distraction- Music, soacial entertaionment, mobile phones restrictions, no essential persons. </t>
  </si>
  <si>
    <t>A proper lookout is maintained.</t>
  </si>
  <si>
    <t xml:space="preserve">Lookout availability and  Communication with watchkeeper. </t>
  </si>
  <si>
    <t>Fatigue is monitored and managed effectively at all times.</t>
  </si>
  <si>
    <t xml:space="preserve">Fatigue management: If 6 on 6 off watch over extended period make  a remark. </t>
  </si>
  <si>
    <t>The bridge team is neither over-pressurised nor complacent.</t>
  </si>
  <si>
    <t xml:space="preserve">Bridge team not over pressureised or complacent: Sharing information, taking short cuts, sharing decision making, erffective communication. </t>
  </si>
  <si>
    <t>The bridge team members maintain a high level of situational awareness at all times.</t>
  </si>
  <si>
    <t xml:space="preserve">Situational Awareness: Efficiently dealing with information flow, developing hazards, close quarters, Assessment of sea room, Assessing developing traffic situations, delegating,  varying influence of speed. </t>
  </si>
  <si>
    <t>Communications within the bridge team are effective.</t>
  </si>
  <si>
    <t xml:space="preserve">Communication with Br Team effective: 
1. Clear and consice, understood by all, closed loop, open to questioning, positive intervention, regular briefings,debrifings amogst bridge team members. </t>
  </si>
  <si>
    <t>Activities are planned in good time and workload is delegated efficiently.</t>
  </si>
  <si>
    <t>The bridge team works well as a unit.</t>
  </si>
  <si>
    <t xml:space="preserve">Br team as a unit: No hierarchial barriers, Coaching, training, mentoring. </t>
  </si>
  <si>
    <t>Decision-making is effective.</t>
  </si>
  <si>
    <t xml:space="preserve">Effective decision making: Unambigous, Address doubts, Intevention by members to master , Decsions not contravening to SMS or COLREG. OTHER THEN  OVERRIDING AUTHORITY. </t>
  </si>
  <si>
    <t>Bridge team members have a good understanding of their responsibilities and demonstrate confidence in their execution.</t>
  </si>
  <si>
    <t xml:space="preserve">Br Tm- Understanding responsibility: Ask questions, Confidence when in Con,. Decision making, Giving orders, assessing situations, taking early actions, interaction with ER, Pilot, calling master when required. </t>
  </si>
  <si>
    <t>Coaching, training and mentoring are actively promoted on board</t>
  </si>
  <si>
    <t xml:space="preserve">Coaching, mentoring: Promotion of next rank work , hands on training. </t>
  </si>
  <si>
    <t>Duties</t>
  </si>
  <si>
    <t>The Designated Navigating Officer is thoroughly familiar with their responsibilities, including industry, company and the Master’s requirements for passage planning.</t>
  </si>
  <si>
    <t>The OOW complies with responsibilities, authority and primary duties as defined by the company.</t>
  </si>
  <si>
    <t>Under Con OOW complies with responsibility</t>
  </si>
  <si>
    <t>The OOW is fully aware of when to call the Master as per standing orders.</t>
  </si>
  <si>
    <t>Verify if practised</t>
  </si>
  <si>
    <t>The bridge team fosters a two-way flow of information, encourages intervention and challenge, and involves all in the decision-making process, irrespective of who has the con.</t>
  </si>
  <si>
    <t xml:space="preserve">Bridge team evidence of two way communication, intervention, challenge and response. </t>
  </si>
  <si>
    <t>The watchkeeper is fully integrated into the bridge team.</t>
  </si>
  <si>
    <t xml:space="preserve">Wk is integrated of bridge team and is appraised of developments. Reporting targets and occassionally at Radar. </t>
  </si>
  <si>
    <t>The experience of new watchkeeping officers and ratings are assessed.</t>
  </si>
  <si>
    <t>The OOW displays a high level of awareness regarding the daily operation of the vessel.</t>
  </si>
  <si>
    <t>Day work awareness</t>
  </si>
  <si>
    <t>The requirements for safety rounds are being complied with.</t>
  </si>
  <si>
    <t xml:space="preserve">Safety rounds not done by duty loookout. </t>
  </si>
  <si>
    <t>The watch handover is effective, with all relevant information handed over.</t>
  </si>
  <si>
    <t xml:space="preserve">Change off watchOOW and rating: Before time, not hand over when altering course, close quarte, or collission avoidance. Effective verbal handover. </t>
  </si>
  <si>
    <t>The bridge team are fully familiar with the initial actions in response to an emergency.</t>
  </si>
  <si>
    <t>The OOW has a good appreciation of the current and forecast environmental conditions.</t>
  </si>
  <si>
    <t>Checklists are completed correctly, with all checks and tests comprehensively carried out.</t>
  </si>
  <si>
    <t xml:space="preserve">CLs enterd correctly. </t>
  </si>
  <si>
    <t>General Navigation</t>
  </si>
  <si>
    <t>Celestial navigation is regularly practised by the bridge team members.</t>
  </si>
  <si>
    <t>Celestial navigation practised</t>
  </si>
  <si>
    <t>The COLREGS are thoroughly understood and diligently applied by the bridge team.</t>
  </si>
  <si>
    <t xml:space="preserve">COLREG followed, AIS not used for Collision avoidance. </t>
  </si>
  <si>
    <t>The vessel is navigated at a safe speed</t>
  </si>
  <si>
    <t>Navigated at safe speed as maarked on ENC, defied in passage plan and UKC checklist</t>
  </si>
  <si>
    <t>Traffic is monitored effectively, including at anchor.</t>
  </si>
  <si>
    <t xml:space="preserve">Traffic monitored- Monitoring by visual, aaudio, electronic and CPA-TCPA. Additional maanning in high traffic arreas. </t>
  </si>
  <si>
    <t>Track management is actively practised</t>
  </si>
  <si>
    <t>PI not marked not used</t>
  </si>
  <si>
    <t xml:space="preserve">Track management: on track , XTE management, use of PI, </t>
  </si>
  <si>
    <t>VHF and external communications management are effective.</t>
  </si>
  <si>
    <t>Bridge team members are familiar with the type and characteristics of all sensors and alarms fitted to navigational equipment.</t>
  </si>
  <si>
    <t xml:space="preserve">Familarity with alarm settings. </t>
  </si>
  <si>
    <t>ECDIS route monitoring is carried out effectively.</t>
  </si>
  <si>
    <t>PI not used on some legs of voyage</t>
  </si>
  <si>
    <t xml:space="preserve">ECDIS Route monitoring:
1. Safety contours and Safety depths
2. Draft correct on ECDIS. 
3. XTD defined for legs. 
4. Correct safety frame and grounding cone. 
5. Alarms Enabled. 
6. No active danger. 
7. Corrective display layer. 
8. Correct chart and appropriate level of zoom. 
9. Sensor inputs are correct. 
10. SOG and COG used.
11. AIO turned on
12. Use of Radar overlay. </t>
  </si>
  <si>
    <t>The passage plan is effectively monitored and executed.</t>
  </si>
  <si>
    <r>
      <rPr>
        <sz val="11"/>
        <color rgb="FFFF0000"/>
        <rFont val="Calibri"/>
        <family val="2"/>
        <scheme val="minor"/>
      </rPr>
      <t>Effective execution of PP from berth to berth as planned.</t>
    </r>
    <r>
      <rPr>
        <sz val="11"/>
        <color theme="1"/>
        <rFont val="Calibri"/>
        <family val="2"/>
        <scheme val="minor"/>
      </rPr>
      <t xml:space="preserve"> All aspects of human factors: teamwork, communications, complacency, intervention, capability, situational awareness, fatigue, pressure, distractions and culture.
• </t>
    </r>
    <r>
      <rPr>
        <sz val="11"/>
        <color rgb="FFFF0000"/>
        <rFont val="Calibri"/>
        <family val="2"/>
        <scheme val="minor"/>
      </rPr>
      <t>Any aspect where monitoring and execution was less than flawless.</t>
    </r>
  </si>
  <si>
    <t>The passage plan briefing prior to departure is effective.</t>
  </si>
  <si>
    <t>Effective debriefing of passage plan and learnings if heard</t>
  </si>
  <si>
    <t>The passage plan debrief on completion of a voyage is effective, and learnings are shared.</t>
  </si>
  <si>
    <t>If heard</t>
  </si>
  <si>
    <t>Position fixing effectively monitors the vessel’s progress.</t>
  </si>
  <si>
    <t xml:space="preserve">Position fixing: Under St-By conditions:
1. Radar overlay after every courtse alteration and frequent intervals. Work sbest on N IP display. 
2. Position verification by manual three point fix. At intervals specified by company. 
Nav other conditions:
1. PV by Radar,bearing, range LOP. 
2. Radar overlay if feasible.
3. Use GPS </t>
  </si>
  <si>
    <t>The squat calculation being used correctly, and the OOW is aware of how squat and bank effect will affect the vessel.</t>
  </si>
  <si>
    <t xml:space="preserve">Correct squat calculation: For Max speed. </t>
  </si>
  <si>
    <t>When required, mandatory routeing, ship reporting systems and vessel traffic services are complied with in full.</t>
  </si>
  <si>
    <t>Use and Understanding of Bridge Equipment</t>
  </si>
  <si>
    <t>The Master and deck officers are fully familiar with the operation and limitations of the navigation and communications equipment on board.</t>
  </si>
  <si>
    <t xml:space="preserve">Familarity with Bridge equipment: 
1. Equipment set corrrectly. 
2. Alarms set correctly. 
3. </t>
  </si>
  <si>
    <t>All deck officers are fully familiar with steering changeover procedures, including emergency steering, and the use of manual steering</t>
  </si>
  <si>
    <t xml:space="preserve">Familarity and use of steeriong:
1. Timely sue of Helmsman. </t>
  </si>
  <si>
    <t>All deck officers are familiar with the actions to be taken in the event of a gyro compass failure.</t>
  </si>
  <si>
    <t>All deck officers are familiar with radar and ARPA, including the limitations of the equipment.</t>
  </si>
  <si>
    <t xml:space="preserve">Familarity with ARPA and Limitations
1. Water track
2. Trail lengths
3. Appropriate range scale
4. Alarm setting for CPA/TCPA
5. </t>
  </si>
  <si>
    <t>All deck officers are familiar with AIS, including the limitations of the equipment.</t>
  </si>
  <si>
    <t xml:space="preserve">AIS familarity and limitations
1. Operational settings are correct. 
2. AIS data not left on continously. </t>
  </si>
  <si>
    <t>All deck officers are familiar with GPS, including the limitations of the equipment</t>
  </si>
  <si>
    <t>The bridge team is aware of ECDIS limitations and operational capabilities.</t>
  </si>
  <si>
    <t xml:space="preserve">ECDIS familarity and limitations AND OVERRELIANCE
1. Position fixing by PI, Radar, Visual, LOPS
</t>
  </si>
  <si>
    <t>Bridge team members are familiar with the types and characteristics of ECDIS alarms.</t>
  </si>
  <si>
    <t>All deck officers are familiar with the immediate response to ECDIS failure and associated sensor failures.</t>
  </si>
  <si>
    <t>Navigation, NAVTEX and weather warnings are processed and circulated efficiently.</t>
  </si>
  <si>
    <t>Pilotage</t>
  </si>
  <si>
    <t>The Pilot transfer procedure is effective.</t>
  </si>
  <si>
    <t xml:space="preserve">Transfer Procedure: 
1. Both OOW and lookout to remain on bridge. 
</t>
  </si>
  <si>
    <t>Pre-arrival information has been discussed effectively and the passage plan has been amended where required.</t>
  </si>
  <si>
    <t xml:space="preserve">Changes in passage plan after pilot information is plan is amended and documented. </t>
  </si>
  <si>
    <t>The Master/Pilot information exchange is effective and concise, and intentions are passed to the bridge team.</t>
  </si>
  <si>
    <t xml:space="preserve">MPEX audible is brief and not comprehsnive. ER not appraised. </t>
  </si>
  <si>
    <t xml:space="preserve">MPEX: 
1. ER appraised. 
</t>
  </si>
  <si>
    <t>The bridge team maintains situational awareness throughout pilotage.</t>
  </si>
  <si>
    <t xml:space="preserve">Situational awareness: Monitor effectuvely. </t>
  </si>
  <si>
    <t>The intended passage under pilotage is effectively monitored.</t>
  </si>
  <si>
    <t xml:space="preserve">Advisning pilot of speed, cross track and approaching alterations,. </t>
  </si>
  <si>
    <t>Communications under pilotage are effective.</t>
  </si>
  <si>
    <t xml:space="preserve">Communicaations under pilotage are effective
1. Cl;osed loop and effective </t>
  </si>
  <si>
    <t>Watchkeepers are used effectively throughout the pilotage.</t>
  </si>
  <si>
    <t xml:space="preserve">1. LO feeds information to bridge team
2. HM carries out instructions effectively. 
3. Bridge team advise pilot about traffic
</t>
  </si>
  <si>
    <t>Berth approach and mooring operations are effective and conducted safely.</t>
  </si>
  <si>
    <t>Total Subjects</t>
  </si>
  <si>
    <t xml:space="preserve">Total Subjects Assessed </t>
  </si>
  <si>
    <t>Total Subjects NS</t>
  </si>
  <si>
    <t>Maximum score</t>
  </si>
  <si>
    <t>Total Score</t>
  </si>
  <si>
    <t>Average</t>
  </si>
  <si>
    <t>Percentage</t>
  </si>
  <si>
    <t>Static Assessment Aspects</t>
  </si>
  <si>
    <t xml:space="preserve">Subjects Assessed </t>
  </si>
  <si>
    <t>Average Score</t>
  </si>
  <si>
    <t>% Score</t>
  </si>
  <si>
    <t>Dynamic Assessment Aspects</t>
  </si>
  <si>
    <t>Bridge team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</si>
</sst>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b/>
      <sz val="16"/>
      <color rgb="FF12487D"/>
      <name val="Trebuchet MS"/>
      <family val="2"/>
    </font>
    <font>
      <b/>
      <sz val="10"/>
      <color rgb="FF231F20"/>
      <name val="Trebuchet MS"/>
      <family val="2"/>
    </font>
    <font>
      <sz val="11"/>
      <color rgb="FF000000"/>
      <name val="Calibri"/>
      <family val="2"/>
      <scheme val="minor"/>
    </font>
    <font>
      <sz val="12"/>
      <color theme="1"/>
      <name val="Calibri"/>
      <family val="2"/>
      <scheme val="minor"/>
    </font>
    <font>
      <sz val="11"/>
      <name val="Calibri"/>
      <family val="2"/>
      <scheme val="minor"/>
    </font>
    <font>
      <b/>
      <sz val="10"/>
      <color rgb="FF1E1E1E"/>
      <name val="Segoe UI"/>
      <family val="2"/>
    </font>
    <font>
      <b/>
      <sz val="12"/>
      <color theme="1"/>
      <name val="Calibri"/>
      <family val="2"/>
      <scheme val="minor"/>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8">
    <xf numFmtId="0" fontId="0" fillId="0" borderId="0" xfId="0"/>
    <xf numFmtId="0" fontId="4" fillId="0" borderId="1" xfId="0" applyFont="1" applyBorder="1" applyAlignment="1">
      <alignment horizontal="center" vertical="center" textRotation="255" wrapText="1"/>
    </xf>
    <xf numFmtId="0" fontId="0" fillId="0" borderId="1" xfId="0" applyBorder="1" applyAlignment="1">
      <alignment wrapText="1"/>
    </xf>
    <xf numFmtId="0" fontId="5" fillId="0" borderId="1" xfId="0" applyFont="1" applyBorder="1" applyAlignment="1">
      <alignment horizontal="left" vertical="center" wrapText="1"/>
    </xf>
    <xf numFmtId="0" fontId="0" fillId="0" borderId="0" xfId="0" applyAlignment="1">
      <alignment wrapText="1"/>
    </xf>
    <xf numFmtId="0" fontId="0" fillId="0" borderId="2" xfId="0" applyBorder="1" applyAlignment="1">
      <alignment horizontal="center" wrapText="1"/>
    </xf>
    <xf numFmtId="0" fontId="6" fillId="0" borderId="1" xfId="0" applyFont="1" applyBorder="1" applyAlignment="1">
      <alignment vertical="center" wrapText="1"/>
    </xf>
    <xf numFmtId="0" fontId="1" fillId="0" borderId="3" xfId="0" applyFont="1" applyBorder="1" applyAlignment="1">
      <alignment horizontal="right" vertical="center" wrapText="1"/>
    </xf>
    <xf numFmtId="0" fontId="1" fillId="0" borderId="3" xfId="0" applyFont="1" applyBorder="1" applyAlignment="1">
      <alignment vertical="center" wrapText="1"/>
    </xf>
    <xf numFmtId="0" fontId="0" fillId="0" borderId="0" xfId="0" applyAlignment="1">
      <alignment horizontal="center" wrapText="1"/>
    </xf>
    <xf numFmtId="0" fontId="7" fillId="0" borderId="3" xfId="0" applyFont="1" applyBorder="1" applyAlignment="1">
      <alignment horizontal="right" vertical="center" wrapText="1"/>
    </xf>
    <xf numFmtId="0" fontId="2" fillId="2" borderId="3" xfId="0" applyFont="1" applyFill="1" applyBorder="1" applyAlignment="1">
      <alignment vertical="center" wrapText="1"/>
    </xf>
    <xf numFmtId="0" fontId="2" fillId="0" borderId="3" xfId="0" applyFont="1" applyBorder="1" applyAlignment="1">
      <alignment horizontal="right" vertical="center" wrapText="1"/>
    </xf>
    <xf numFmtId="0" fontId="8" fillId="0" borderId="3" xfId="0" applyFont="1" applyBorder="1" applyAlignment="1">
      <alignment vertical="center" wrapText="1"/>
    </xf>
    <xf numFmtId="0" fontId="4" fillId="0" borderId="0" xfId="0" applyFont="1" applyAlignment="1">
      <alignment vertical="center" textRotation="255" wrapText="1"/>
    </xf>
    <xf numFmtId="0" fontId="6" fillId="0" borderId="0" xfId="0" applyFont="1" applyAlignment="1">
      <alignment vertical="center" wrapText="1"/>
    </xf>
    <xf numFmtId="0" fontId="2" fillId="0" borderId="3" xfId="0" applyFont="1" applyBorder="1" applyAlignment="1">
      <alignment vertical="center" wrapText="1"/>
    </xf>
    <xf numFmtId="0" fontId="0" fillId="0" borderId="4" xfId="0" applyBorder="1" applyAlignment="1">
      <alignment horizontal="center" wrapText="1"/>
    </xf>
    <xf numFmtId="0" fontId="0" fillId="0" borderId="1" xfId="0" applyBorder="1" applyAlignment="1">
      <alignment horizontal="center" wrapText="1"/>
    </xf>
    <xf numFmtId="0" fontId="2" fillId="0" borderId="0" xfId="0" applyFont="1" applyAlignment="1">
      <alignment wrapText="1"/>
    </xf>
    <xf numFmtId="0" fontId="6" fillId="2" borderId="1" xfId="0" applyFont="1" applyFill="1" applyBorder="1" applyAlignment="1">
      <alignment vertical="center" wrapText="1"/>
    </xf>
    <xf numFmtId="0" fontId="6" fillId="0" borderId="1" xfId="0" applyFont="1" applyBorder="1" applyAlignment="1">
      <alignment horizontal="justify" vertical="center" wrapText="1"/>
    </xf>
    <xf numFmtId="0" fontId="6" fillId="0" borderId="1" xfId="0" applyFont="1" applyBorder="1" applyAlignment="1">
      <alignment wrapText="1"/>
    </xf>
    <xf numFmtId="0" fontId="6" fillId="0" borderId="0" xfId="0" applyFont="1" applyAlignment="1">
      <alignment vertical="top" wrapText="1"/>
    </xf>
    <xf numFmtId="0" fontId="6" fillId="0" borderId="0" xfId="0" applyFont="1" applyAlignment="1">
      <alignment vertical="center"/>
    </xf>
    <xf numFmtId="0" fontId="6" fillId="0" borderId="1" xfId="0" applyFont="1" applyBorder="1" applyAlignment="1">
      <alignment vertical="center"/>
    </xf>
    <xf numFmtId="0" fontId="7" fillId="0" borderId="3" xfId="0" applyFont="1" applyBorder="1" applyAlignment="1">
      <alignment vertical="center" wrapText="1"/>
    </xf>
    <xf numFmtId="0" fontId="2" fillId="0" borderId="3" xfId="0" applyFont="1" applyBorder="1" applyAlignment="1">
      <alignment horizontal="center" vertical="center" wrapText="1"/>
    </xf>
    <xf numFmtId="0" fontId="0" fillId="0" borderId="1" xfId="0" applyBorder="1" applyAlignment="1">
      <alignment horizontal="center" vertical="center" wrapText="1"/>
    </xf>
    <xf numFmtId="0" fontId="7" fillId="0" borderId="3" xfId="0" applyFont="1" applyBorder="1" applyAlignment="1">
      <alignment horizontal="center" vertical="center" wrapText="1"/>
    </xf>
    <xf numFmtId="0" fontId="0" fillId="0" borderId="0" xfId="0" applyAlignment="1">
      <alignment horizontal="center" vertical="center" wrapText="1"/>
    </xf>
    <xf numFmtId="0" fontId="6" fillId="0" borderId="1" xfId="0" applyFont="1" applyBorder="1"/>
    <xf numFmtId="0" fontId="9" fillId="0" borderId="0" xfId="0" applyFont="1" applyAlignment="1">
      <alignment wrapText="1"/>
    </xf>
    <xf numFmtId="0" fontId="6" fillId="0" borderId="0" xfId="0" applyFont="1" applyAlignment="1">
      <alignment wrapText="1"/>
    </xf>
    <xf numFmtId="0" fontId="6" fillId="0" borderId="0" xfId="0" applyFont="1" applyAlignment="1">
      <alignment horizontal="justify" vertical="center"/>
    </xf>
    <xf numFmtId="0" fontId="0" fillId="0" borderId="5" xfId="0" applyBorder="1" applyAlignment="1">
      <alignment wrapText="1"/>
    </xf>
    <xf numFmtId="0" fontId="3" fillId="0" borderId="6" xfId="0" applyFont="1" applyBorder="1" applyAlignment="1">
      <alignment horizontal="center" wrapText="1"/>
    </xf>
    <xf numFmtId="0" fontId="0" fillId="0" borderId="7" xfId="0" applyBorder="1" applyAlignment="1">
      <alignment wrapText="1"/>
    </xf>
    <xf numFmtId="0" fontId="10" fillId="0" borderId="8" xfId="0" applyFont="1" applyBorder="1" applyAlignment="1">
      <alignment horizontal="center"/>
    </xf>
    <xf numFmtId="0" fontId="3" fillId="0" borderId="8" xfId="0" applyFont="1" applyBorder="1" applyAlignment="1">
      <alignment horizontal="center" wrapText="1"/>
    </xf>
    <xf numFmtId="2" fontId="3" fillId="0" borderId="8" xfId="0" applyNumberFormat="1" applyFont="1" applyBorder="1" applyAlignment="1">
      <alignment horizontal="center" wrapText="1"/>
    </xf>
    <xf numFmtId="0" fontId="0" fillId="0" borderId="9" xfId="0" applyBorder="1" applyAlignment="1">
      <alignment wrapText="1"/>
    </xf>
    <xf numFmtId="2" fontId="3" fillId="0" borderId="10" xfId="0" applyNumberFormat="1" applyFont="1" applyBorder="1" applyAlignment="1">
      <alignment horizontal="center" wrapText="1"/>
    </xf>
    <xf numFmtId="0" fontId="3" fillId="0" borderId="0" xfId="0" applyFont="1" applyAlignment="1">
      <alignment wrapText="1"/>
    </xf>
    <xf numFmtId="0" fontId="11" fillId="0" borderId="0" xfId="0" applyFont="1" applyAlignment="1">
      <alignment horizontal="center" vertical="center"/>
    </xf>
    <xf numFmtId="2" fontId="3" fillId="0" borderId="0" xfId="0" applyNumberFormat="1" applyFont="1" applyAlignment="1">
      <alignment horizontal="center" wrapText="1"/>
    </xf>
    <xf numFmtId="0" fontId="7" fillId="0" borderId="11" xfId="0" applyFont="1" applyBorder="1" applyAlignment="1">
      <alignment vertical="center" wrapText="1"/>
    </xf>
    <xf numFmtId="2"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spPr>
            <a:solidFill>
              <a:srgbClr val="92D050"/>
            </a:solidFill>
          </c:spPr>
          <c:invertIfNegative val="0"/>
          <c:dPt>
            <c:idx val="0"/>
            <c:invertIfNegative val="0"/>
            <c:bubble3D val="0"/>
            <c:spPr>
              <a:solidFill>
                <a:srgbClr val="FFFF00"/>
              </a:solidFill>
            </c:spPr>
            <c:extLst>
              <c:ext xmlns:c16="http://schemas.microsoft.com/office/drawing/2014/chart" uri="{C3380CC4-5D6E-409C-BE32-E72D297353CC}">
                <c16:uniqueId val="{00000001-5F4B-468F-9F97-4061EA3F269B}"/>
              </c:ext>
            </c:extLst>
          </c:dPt>
          <c:dPt>
            <c:idx val="1"/>
            <c:invertIfNegative val="0"/>
            <c:bubble3D val="0"/>
            <c:spPr>
              <a:solidFill>
                <a:srgbClr val="FFFF00"/>
              </a:solidFill>
            </c:spPr>
            <c:extLst>
              <c:ext xmlns:c16="http://schemas.microsoft.com/office/drawing/2014/chart" uri="{C3380CC4-5D6E-409C-BE32-E72D297353CC}">
                <c16:uniqueId val="{00000003-5F4B-468F-9F97-4061EA3F269B}"/>
              </c:ext>
            </c:extLst>
          </c:dPt>
          <c:dPt>
            <c:idx val="2"/>
            <c:invertIfNegative val="0"/>
            <c:bubble3D val="0"/>
            <c:extLst>
              <c:ext xmlns:c16="http://schemas.microsoft.com/office/drawing/2014/chart" uri="{C3380CC4-5D6E-409C-BE32-E72D297353CC}">
                <c16:uniqueId val="{00000004-5F4B-468F-9F97-4061EA3F269B}"/>
              </c:ext>
            </c:extLst>
          </c:dPt>
          <c:dPt>
            <c:idx val="3"/>
            <c:invertIfNegative val="0"/>
            <c:bubble3D val="0"/>
            <c:spPr>
              <a:solidFill>
                <a:srgbClr val="FFFF00"/>
              </a:solidFill>
              <a:ln>
                <a:solidFill>
                  <a:srgbClr val="92D050"/>
                </a:solidFill>
              </a:ln>
            </c:spPr>
            <c:extLst>
              <c:ext xmlns:c16="http://schemas.microsoft.com/office/drawing/2014/chart" uri="{C3380CC4-5D6E-409C-BE32-E72D297353CC}">
                <c16:uniqueId val="{00000006-5F4B-468F-9F97-4061EA3F269B}"/>
              </c:ext>
            </c:extLst>
          </c:dPt>
          <c:cat>
            <c:strRef>
              <c:f>'GOLDEN FRIO OSM'!$C$134:$C$137</c:f>
              <c:strCache>
                <c:ptCount val="4"/>
                <c:pt idx="0">
                  <c:v>Company Policy</c:v>
                </c:pt>
                <c:pt idx="1">
                  <c:v>Passage Planning</c:v>
                </c:pt>
                <c:pt idx="2">
                  <c:v>Bridge Equipment</c:v>
                </c:pt>
                <c:pt idx="3">
                  <c:v>Forms and Checklists</c:v>
                </c:pt>
              </c:strCache>
            </c:strRef>
          </c:cat>
          <c:val>
            <c:numRef>
              <c:f>'GOLDEN FRIO OSM'!$E$134:$E$137</c:f>
              <c:numCache>
                <c:formatCode>0.00</c:formatCode>
                <c:ptCount val="4"/>
                <c:pt idx="0">
                  <c:v>3.25</c:v>
                </c:pt>
                <c:pt idx="1">
                  <c:v>3.25</c:v>
                </c:pt>
                <c:pt idx="2">
                  <c:v>4</c:v>
                </c:pt>
                <c:pt idx="3">
                  <c:v>2.5714285714285716</c:v>
                </c:pt>
              </c:numCache>
            </c:numRef>
          </c:val>
          <c:extLst>
            <c:ext xmlns:c16="http://schemas.microsoft.com/office/drawing/2014/chart" uri="{C3380CC4-5D6E-409C-BE32-E72D297353CC}">
              <c16:uniqueId val="{00000007-5F4B-468F-9F97-4061EA3F269B}"/>
            </c:ext>
          </c:extLst>
        </c:ser>
        <c:dLbls>
          <c:showLegendKey val="0"/>
          <c:showVal val="0"/>
          <c:showCatName val="0"/>
          <c:showSerName val="0"/>
          <c:showPercent val="0"/>
          <c:showBubbleSize val="0"/>
        </c:dLbls>
        <c:gapWidth val="150"/>
        <c:overlap val="100"/>
        <c:axId val="151953408"/>
        <c:axId val="151954944"/>
      </c:barChart>
      <c:catAx>
        <c:axId val="151953408"/>
        <c:scaling>
          <c:orientation val="minMax"/>
        </c:scaling>
        <c:delete val="0"/>
        <c:axPos val="b"/>
        <c:numFmt formatCode="General" sourceLinked="0"/>
        <c:majorTickMark val="out"/>
        <c:minorTickMark val="none"/>
        <c:tickLblPos val="nextTo"/>
        <c:crossAx val="151954944"/>
        <c:crosses val="autoZero"/>
        <c:auto val="1"/>
        <c:lblAlgn val="ctr"/>
        <c:lblOffset val="100"/>
        <c:noMultiLvlLbl val="0"/>
      </c:catAx>
      <c:valAx>
        <c:axId val="151954944"/>
        <c:scaling>
          <c:orientation val="minMax"/>
          <c:max val="5"/>
          <c:min val="0"/>
        </c:scaling>
        <c:delete val="0"/>
        <c:axPos val="l"/>
        <c:majorGridlines/>
        <c:numFmt formatCode="0.00" sourceLinked="1"/>
        <c:majorTickMark val="out"/>
        <c:minorTickMark val="none"/>
        <c:tickLblPos val="nextTo"/>
        <c:crossAx val="151953408"/>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0"/>
          <c:spPr>
            <a:solidFill>
              <a:srgbClr val="92D050"/>
            </a:solidFill>
          </c:spPr>
          <c:invertIfNegative val="0"/>
          <c:dPt>
            <c:idx val="0"/>
            <c:invertIfNegative val="0"/>
            <c:bubble3D val="0"/>
            <c:extLst>
              <c:ext xmlns:c16="http://schemas.microsoft.com/office/drawing/2014/chart" uri="{C3380CC4-5D6E-409C-BE32-E72D297353CC}">
                <c16:uniqueId val="{00000000-7301-48CD-9F13-A23F9B73889F}"/>
              </c:ext>
            </c:extLst>
          </c:dPt>
          <c:dPt>
            <c:idx val="1"/>
            <c:invertIfNegative val="0"/>
            <c:bubble3D val="0"/>
            <c:spPr>
              <a:solidFill>
                <a:srgbClr val="FFFF00"/>
              </a:solidFill>
              <a:ln>
                <a:solidFill>
                  <a:srgbClr val="FFC000"/>
                </a:solidFill>
              </a:ln>
            </c:spPr>
            <c:extLst>
              <c:ext xmlns:c16="http://schemas.microsoft.com/office/drawing/2014/chart" uri="{C3380CC4-5D6E-409C-BE32-E72D297353CC}">
                <c16:uniqueId val="{00000002-7301-48CD-9F13-A23F9B73889F}"/>
              </c:ext>
            </c:extLst>
          </c:dPt>
          <c:dPt>
            <c:idx val="2"/>
            <c:invertIfNegative val="0"/>
            <c:bubble3D val="0"/>
            <c:spPr>
              <a:solidFill>
                <a:srgbClr val="FFFF00"/>
              </a:solidFill>
            </c:spPr>
            <c:extLst>
              <c:ext xmlns:c16="http://schemas.microsoft.com/office/drawing/2014/chart" uri="{C3380CC4-5D6E-409C-BE32-E72D297353CC}">
                <c16:uniqueId val="{00000004-7301-48CD-9F13-A23F9B73889F}"/>
              </c:ext>
            </c:extLst>
          </c:dPt>
          <c:dPt>
            <c:idx val="3"/>
            <c:invertIfNegative val="0"/>
            <c:bubble3D val="0"/>
            <c:extLst>
              <c:ext xmlns:c16="http://schemas.microsoft.com/office/drawing/2014/chart" uri="{C3380CC4-5D6E-409C-BE32-E72D297353CC}">
                <c16:uniqueId val="{00000005-7301-48CD-9F13-A23F9B73889F}"/>
              </c:ext>
            </c:extLst>
          </c:dPt>
          <c:dPt>
            <c:idx val="4"/>
            <c:invertIfNegative val="0"/>
            <c:bubble3D val="0"/>
            <c:spPr>
              <a:solidFill>
                <a:srgbClr val="FFFF00"/>
              </a:solidFill>
              <a:ln>
                <a:solidFill>
                  <a:srgbClr val="92D050"/>
                </a:solidFill>
              </a:ln>
            </c:spPr>
            <c:extLst>
              <c:ext xmlns:c16="http://schemas.microsoft.com/office/drawing/2014/chart" uri="{C3380CC4-5D6E-409C-BE32-E72D297353CC}">
                <c16:uniqueId val="{00000007-7301-48CD-9F13-A23F9B73889F}"/>
              </c:ext>
            </c:extLst>
          </c:dPt>
          <c:dPt>
            <c:idx val="5"/>
            <c:invertIfNegative val="0"/>
            <c:bubble3D val="0"/>
            <c:extLst>
              <c:ext xmlns:c16="http://schemas.microsoft.com/office/drawing/2014/chart" uri="{C3380CC4-5D6E-409C-BE32-E72D297353CC}">
                <c16:uniqueId val="{00000008-7301-48CD-9F13-A23F9B73889F}"/>
              </c:ext>
            </c:extLst>
          </c:dPt>
          <c:dPt>
            <c:idx val="6"/>
            <c:invertIfNegative val="0"/>
            <c:bubble3D val="0"/>
            <c:spPr>
              <a:solidFill>
                <a:srgbClr val="FFFF00"/>
              </a:solidFill>
            </c:spPr>
            <c:extLst>
              <c:ext xmlns:c16="http://schemas.microsoft.com/office/drawing/2014/chart" uri="{C3380CC4-5D6E-409C-BE32-E72D297353CC}">
                <c16:uniqueId val="{0000000A-7301-48CD-9F13-A23F9B73889F}"/>
              </c:ext>
            </c:extLst>
          </c:dPt>
          <c:cat>
            <c:strRef>
              <c:f>'GOLDEN FRIO OSM'!$C$140:$C$146</c:f>
              <c:strCache>
                <c:ptCount val="7"/>
                <c:pt idx="0">
                  <c:v>Company Policy</c:v>
                </c:pt>
                <c:pt idx="1">
                  <c:v>Bridge team organization</c:v>
                </c:pt>
                <c:pt idx="2">
                  <c:v>Duties</c:v>
                </c:pt>
                <c:pt idx="3">
                  <c:v>General Navigation</c:v>
                </c:pt>
                <c:pt idx="4">
                  <c:v>Passage Planning</c:v>
                </c:pt>
                <c:pt idx="5">
                  <c:v>Use and Understanding of Bridge Equipment</c:v>
                </c:pt>
                <c:pt idx="6">
                  <c:v>Pilotage</c:v>
                </c:pt>
              </c:strCache>
            </c:strRef>
          </c:cat>
          <c:val>
            <c:numRef>
              <c:f>'GOLDEN FRIO OSM'!$E$140:$E$146</c:f>
              <c:numCache>
                <c:formatCode>0.00</c:formatCode>
                <c:ptCount val="7"/>
                <c:pt idx="0">
                  <c:v>4</c:v>
                </c:pt>
                <c:pt idx="1">
                  <c:v>3.8</c:v>
                </c:pt>
                <c:pt idx="2">
                  <c:v>3.6</c:v>
                </c:pt>
                <c:pt idx="3">
                  <c:v>4</c:v>
                </c:pt>
                <c:pt idx="4">
                  <c:v>3.3333333333333335</c:v>
                </c:pt>
                <c:pt idx="5">
                  <c:v>4</c:v>
                </c:pt>
                <c:pt idx="6">
                  <c:v>3.5</c:v>
                </c:pt>
              </c:numCache>
            </c:numRef>
          </c:val>
          <c:extLst>
            <c:ext xmlns:c16="http://schemas.microsoft.com/office/drawing/2014/chart" uri="{C3380CC4-5D6E-409C-BE32-E72D297353CC}">
              <c16:uniqueId val="{0000000B-7301-48CD-9F13-A23F9B73889F}"/>
            </c:ext>
          </c:extLst>
        </c:ser>
        <c:dLbls>
          <c:showLegendKey val="0"/>
          <c:showVal val="0"/>
          <c:showCatName val="0"/>
          <c:showSerName val="0"/>
          <c:showPercent val="0"/>
          <c:showBubbleSize val="0"/>
        </c:dLbls>
        <c:gapWidth val="150"/>
        <c:axId val="151856640"/>
        <c:axId val="151858176"/>
      </c:barChart>
      <c:catAx>
        <c:axId val="151856640"/>
        <c:scaling>
          <c:orientation val="minMax"/>
        </c:scaling>
        <c:delete val="0"/>
        <c:axPos val="b"/>
        <c:numFmt formatCode="General" sourceLinked="0"/>
        <c:majorTickMark val="out"/>
        <c:minorTickMark val="none"/>
        <c:tickLblPos val="nextTo"/>
        <c:crossAx val="151858176"/>
        <c:crosses val="autoZero"/>
        <c:auto val="1"/>
        <c:lblAlgn val="ctr"/>
        <c:lblOffset val="100"/>
        <c:noMultiLvlLbl val="0"/>
      </c:catAx>
      <c:valAx>
        <c:axId val="151858176"/>
        <c:scaling>
          <c:orientation val="minMax"/>
          <c:max val="5"/>
          <c:min val="0"/>
        </c:scaling>
        <c:delete val="0"/>
        <c:axPos val="l"/>
        <c:majorGridlines/>
        <c:numFmt formatCode="0.00" sourceLinked="1"/>
        <c:majorTickMark val="out"/>
        <c:minorTickMark val="none"/>
        <c:tickLblPos val="nextTo"/>
        <c:crossAx val="15185664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601980</xdr:colOff>
      <xdr:row>128</xdr:row>
      <xdr:rowOff>118110</xdr:rowOff>
    </xdr:from>
    <xdr:to>
      <xdr:col>16</xdr:col>
      <xdr:colOff>175260</xdr:colOff>
      <xdr:row>141</xdr:row>
      <xdr:rowOff>140970</xdr:rowOff>
    </xdr:to>
    <xdr:graphicFrame macro="">
      <xdr:nvGraphicFramePr>
        <xdr:cNvPr id="2" name="Chart 1">
          <a:extLst>
            <a:ext uri="{FF2B5EF4-FFF2-40B4-BE49-F238E27FC236}">
              <a16:creationId xmlns:a16="http://schemas.microsoft.com/office/drawing/2014/main" id="{2CA8FE87-4041-4B03-91BD-0AB2ABE22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449580</xdr:colOff>
      <xdr:row>144</xdr:row>
      <xdr:rowOff>80010</xdr:rowOff>
    </xdr:from>
    <xdr:to>
      <xdr:col>16</xdr:col>
      <xdr:colOff>22860</xdr:colOff>
      <xdr:row>159</xdr:row>
      <xdr:rowOff>34290</xdr:rowOff>
    </xdr:to>
    <xdr:graphicFrame macro="">
      <xdr:nvGraphicFramePr>
        <xdr:cNvPr id="3" name="Chart 2">
          <a:extLst>
            <a:ext uri="{FF2B5EF4-FFF2-40B4-BE49-F238E27FC236}">
              <a16:creationId xmlns:a16="http://schemas.microsoft.com/office/drawing/2014/main" id="{2F6F1C67-D288-4371-9879-6A3F913C5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WIP/TRNA%20PENDING/GOLDEN%20FRIO%20TRNA/TRNA%20202%20GOLDEN%20FRIO.xlsx" TargetMode="External"/><Relationship Id="rId2" Type="http://schemas.openxmlformats.org/officeDocument/2006/relationships/externalLinkPath" Target="file:///C:\Users\Capt%20Yatendra\Desktop\WIP\TRNA%20PENDING\GOLDEN%20FRIO%20TRNA\TRNA%20202%20GOLDEN%20FRIO.xlsx" TargetMode="External"/><Relationship Id="rId1" Type="http://schemas.openxmlformats.org/officeDocument/2006/relationships/externalLinkPath" Target="/Users/Capt%20Yatendra/Desktop/WIP/TRNA%20PENDING/GOLDEN%20FRIO%20TRNA/TRNA%20202%20GOLDEN%20FR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OLDEN FRIO OSM"/>
      <sheetName val="TITAN VISION"/>
      <sheetName val="PELAGIC TURBOT"/>
      <sheetName val="ORIENT TIDE"/>
      <sheetName val="ORIENT POWER"/>
      <sheetName val="PACIFIC WEIHAI"/>
      <sheetName val="GOLDEN GINGER"/>
      <sheetName val="ASPHALT TRANSPORTER"/>
      <sheetName val="PELAGIC TOPE"/>
      <sheetName val="SEAGAS MAJOR"/>
      <sheetName val="STAR KESTREL"/>
      <sheetName val="STAR EAGLE"/>
      <sheetName val="HAFNIA AISA"/>
      <sheetName val="STAR OSPREY"/>
      <sheetName val="MDS SOFIA"/>
      <sheetName val="STAR MERLIN"/>
      <sheetName val="ORIENT CAVALIER"/>
      <sheetName val="HAFNIA AFRICA"/>
      <sheetName val="Orient Pride"/>
      <sheetName val="EVGENIA"/>
      <sheetName val="AL REEM"/>
      <sheetName val="HAFNIA AUSTRALIA"/>
      <sheetName val="Orient Focus"/>
      <sheetName val="Orient Centaur"/>
      <sheetName val="GOLDEN ARION"/>
      <sheetName val="Marianna Glory"/>
      <sheetName val="GOLDEN BEHIKE"/>
      <sheetName val="TRNA HAFNIA LEO"/>
      <sheetName val="HTM EVEREST"/>
      <sheetName val="MOUNT KIBO"/>
      <sheetName val="HAFNIA TAURUS"/>
      <sheetName val="Baltic swift"/>
      <sheetName val="Guidance notes"/>
      <sheetName val="GOLDEN Arcus"/>
      <sheetName val="GOLDEN Amber"/>
      <sheetName val="GOLDEN BRILLIANT"/>
      <sheetName val="GOLDEN OPAL"/>
      <sheetName val="GAS CAMELOT (2)"/>
    </sheetNames>
    <sheetDataSet>
      <sheetData sheetId="0">
        <row r="134">
          <cell r="C134" t="str">
            <v>Company Policy</v>
          </cell>
          <cell r="E134">
            <v>3.25</v>
          </cell>
        </row>
        <row r="135">
          <cell r="C135" t="str">
            <v>Passage Planning</v>
          </cell>
          <cell r="E135">
            <v>3.25</v>
          </cell>
        </row>
        <row r="136">
          <cell r="C136" t="str">
            <v>Bridge Equipment</v>
          </cell>
          <cell r="E136">
            <v>4</v>
          </cell>
        </row>
        <row r="137">
          <cell r="C137" t="str">
            <v>Forms and Checklists</v>
          </cell>
          <cell r="E137">
            <v>2.5714285714285716</v>
          </cell>
        </row>
        <row r="140">
          <cell r="C140" t="str">
            <v>Company Policy</v>
          </cell>
          <cell r="E140">
            <v>4</v>
          </cell>
        </row>
        <row r="141">
          <cell r="C141" t="str">
            <v>Bridge team organization</v>
          </cell>
          <cell r="E141">
            <v>3.8</v>
          </cell>
        </row>
        <row r="142">
          <cell r="C142" t="str">
            <v>Duties</v>
          </cell>
          <cell r="E142">
            <v>3.6</v>
          </cell>
        </row>
        <row r="143">
          <cell r="C143" t="str">
            <v>General Navigation</v>
          </cell>
          <cell r="E143">
            <v>4</v>
          </cell>
        </row>
        <row r="144">
          <cell r="C144" t="str">
            <v>Passage Planning</v>
          </cell>
          <cell r="E144">
            <v>3.3333333333333335</v>
          </cell>
        </row>
        <row r="145">
          <cell r="C145" t="str">
            <v>Use and Understanding of Bridge Equipment</v>
          </cell>
          <cell r="E145">
            <v>4</v>
          </cell>
        </row>
        <row r="146">
          <cell r="C146" t="str">
            <v>Pilotage</v>
          </cell>
          <cell r="E146">
            <v>3.5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5DA6C-F1D1-4458-A8F5-BF3EE6F5876C}">
  <dimension ref="A1:F146"/>
  <sheetViews>
    <sheetView tabSelected="1" topLeftCell="C1" zoomScale="70" zoomScaleNormal="70" workbookViewId="0">
      <selection activeCell="F2" sqref="F2"/>
    </sheetView>
  </sheetViews>
  <sheetFormatPr defaultColWidth="9.1796875" defaultRowHeight="14.5" x14ac:dyDescent="0.35"/>
  <cols>
    <col min="1" max="1" width="12.26953125" style="4" customWidth="1"/>
    <col min="2" max="2" width="16.453125" style="4" customWidth="1"/>
    <col min="3" max="3" width="61.54296875" style="4" customWidth="1"/>
    <col min="4" max="4" width="13.54296875" style="4" customWidth="1"/>
    <col min="5" max="5" width="59.54296875" style="4" customWidth="1"/>
    <col min="6" max="6" width="93.81640625" style="4" customWidth="1"/>
    <col min="7" max="16384" width="9.1796875" style="4"/>
  </cols>
  <sheetData>
    <row r="1" spans="1:6" ht="29.5" customHeight="1" thickBot="1" x14ac:dyDescent="0.4">
      <c r="A1" s="1" t="s">
        <v>0</v>
      </c>
      <c r="B1" s="2" t="s">
        <v>1</v>
      </c>
      <c r="C1" s="3" t="s">
        <v>2</v>
      </c>
      <c r="D1" s="2" t="s">
        <v>3</v>
      </c>
      <c r="E1" s="4" t="s">
        <v>4</v>
      </c>
      <c r="F1" s="4" t="s">
        <v>5</v>
      </c>
    </row>
    <row r="2" spans="1:6" ht="29.5" customHeight="1" thickBot="1" x14ac:dyDescent="0.4">
      <c r="A2" s="1"/>
      <c r="B2" s="5" t="s">
        <v>6</v>
      </c>
      <c r="C2" s="6" t="s">
        <v>7</v>
      </c>
      <c r="D2" s="7">
        <v>4</v>
      </c>
      <c r="E2" s="8" t="s">
        <v>8</v>
      </c>
      <c r="F2" s="4" t="s">
        <v>9</v>
      </c>
    </row>
    <row r="3" spans="1:6" ht="27.5" thickBot="1" x14ac:dyDescent="0.4">
      <c r="A3" s="1"/>
      <c r="B3" s="9"/>
      <c r="C3" s="6" t="s">
        <v>10</v>
      </c>
      <c r="D3" s="10" t="s">
        <v>11</v>
      </c>
      <c r="E3" s="8" t="s">
        <v>8</v>
      </c>
      <c r="F3" s="4" t="s">
        <v>12</v>
      </c>
    </row>
    <row r="4" spans="1:6" ht="29.5" customHeight="1" thickBot="1" x14ac:dyDescent="0.4">
      <c r="A4" s="1"/>
      <c r="B4" s="9"/>
      <c r="C4" s="6" t="s">
        <v>13</v>
      </c>
      <c r="D4" s="10" t="s">
        <v>11</v>
      </c>
      <c r="E4" s="11" t="s">
        <v>14</v>
      </c>
    </row>
    <row r="5" spans="1:6" ht="29.5" customHeight="1" thickBot="1" x14ac:dyDescent="0.4">
      <c r="A5" s="1"/>
      <c r="B5" s="9"/>
      <c r="C5" s="6" t="s">
        <v>15</v>
      </c>
      <c r="D5" s="7">
        <v>4</v>
      </c>
      <c r="E5" s="8" t="s">
        <v>8</v>
      </c>
      <c r="F5" s="4" t="s">
        <v>16</v>
      </c>
    </row>
    <row r="6" spans="1:6" ht="27.5" thickBot="1" x14ac:dyDescent="0.4">
      <c r="A6" s="1"/>
      <c r="B6" s="9"/>
      <c r="C6" s="6" t="s">
        <v>17</v>
      </c>
      <c r="D6" s="12">
        <v>2</v>
      </c>
      <c r="E6" s="8" t="s">
        <v>8</v>
      </c>
    </row>
    <row r="7" spans="1:6" ht="29.5" customHeight="1" thickBot="1" x14ac:dyDescent="0.4">
      <c r="A7" s="1"/>
      <c r="B7" s="9"/>
      <c r="C7" s="6" t="s">
        <v>18</v>
      </c>
      <c r="D7" s="7" t="s">
        <v>11</v>
      </c>
      <c r="E7" s="13"/>
    </row>
    <row r="8" spans="1:6" ht="29.5" thickBot="1" x14ac:dyDescent="0.4">
      <c r="A8" s="1"/>
      <c r="B8" s="9"/>
      <c r="C8" s="6" t="s">
        <v>19</v>
      </c>
      <c r="D8" s="7">
        <v>4</v>
      </c>
      <c r="E8" s="8" t="s">
        <v>8</v>
      </c>
      <c r="F8" s="4" t="s">
        <v>20</v>
      </c>
    </row>
    <row r="9" spans="1:6" ht="27.5" thickBot="1" x14ac:dyDescent="0.4">
      <c r="A9" s="14"/>
      <c r="B9" s="9"/>
      <c r="C9" s="15" t="s">
        <v>21</v>
      </c>
      <c r="D9" s="7">
        <v>2</v>
      </c>
      <c r="E9" s="13"/>
      <c r="F9" s="4" t="s">
        <v>22</v>
      </c>
    </row>
    <row r="10" spans="1:6" ht="44" thickBot="1" x14ac:dyDescent="0.4">
      <c r="A10" s="1"/>
      <c r="B10" s="9"/>
      <c r="C10" s="6" t="s">
        <v>23</v>
      </c>
      <c r="D10" s="7">
        <v>2</v>
      </c>
      <c r="E10" s="16" t="s">
        <v>24</v>
      </c>
      <c r="F10" s="4" t="s">
        <v>25</v>
      </c>
    </row>
    <row r="11" spans="1:6" ht="58.5" thickBot="1" x14ac:dyDescent="0.4">
      <c r="A11" s="1"/>
      <c r="B11" s="9"/>
      <c r="C11" s="6" t="s">
        <v>26</v>
      </c>
      <c r="D11" s="7">
        <v>4</v>
      </c>
      <c r="E11" s="8" t="s">
        <v>8</v>
      </c>
      <c r="F11" s="4" t="s">
        <v>27</v>
      </c>
    </row>
    <row r="12" spans="1:6" ht="45.75" customHeight="1" thickBot="1" x14ac:dyDescent="0.4">
      <c r="A12" s="1"/>
      <c r="B12" s="9"/>
      <c r="C12" s="6" t="s">
        <v>28</v>
      </c>
      <c r="D12" s="10">
        <v>2</v>
      </c>
      <c r="E12" s="8" t="s">
        <v>8</v>
      </c>
    </row>
    <row r="13" spans="1:6" ht="29.5" thickBot="1" x14ac:dyDescent="0.4">
      <c r="A13" s="1"/>
      <c r="B13" s="9"/>
      <c r="C13" s="6" t="s">
        <v>29</v>
      </c>
      <c r="D13" s="7">
        <v>4</v>
      </c>
      <c r="E13" s="8" t="s">
        <v>8</v>
      </c>
      <c r="F13" s="4" t="s">
        <v>30</v>
      </c>
    </row>
    <row r="14" spans="1:6" ht="135" customHeight="1" thickBot="1" x14ac:dyDescent="0.4">
      <c r="A14" s="1"/>
      <c r="B14" s="9"/>
      <c r="C14" s="6" t="s">
        <v>31</v>
      </c>
      <c r="D14" s="10">
        <v>3</v>
      </c>
      <c r="E14" s="8" t="s">
        <v>8</v>
      </c>
      <c r="F14" s="4" t="s">
        <v>32</v>
      </c>
    </row>
    <row r="15" spans="1:6" ht="44" thickBot="1" x14ac:dyDescent="0.4">
      <c r="A15" s="14"/>
      <c r="B15" s="9"/>
      <c r="C15" s="15" t="s">
        <v>33</v>
      </c>
      <c r="D15" s="7">
        <v>4</v>
      </c>
      <c r="E15" s="8" t="s">
        <v>8</v>
      </c>
      <c r="F15" s="4" t="s">
        <v>34</v>
      </c>
    </row>
    <row r="16" spans="1:6" ht="27.5" thickBot="1" x14ac:dyDescent="0.4">
      <c r="A16" s="1"/>
      <c r="B16" s="17"/>
      <c r="C16" s="6" t="s">
        <v>35</v>
      </c>
      <c r="D16" s="7">
        <v>4</v>
      </c>
      <c r="E16" s="8" t="s">
        <v>8</v>
      </c>
    </row>
    <row r="17" spans="1:6" ht="131.25" customHeight="1" thickBot="1" x14ac:dyDescent="0.4">
      <c r="A17" s="1"/>
      <c r="B17" s="18" t="s">
        <v>36</v>
      </c>
      <c r="C17" s="6" t="s">
        <v>37</v>
      </c>
      <c r="D17" s="7">
        <v>2</v>
      </c>
      <c r="E17" s="8" t="s">
        <v>8</v>
      </c>
      <c r="F17" s="19" t="s">
        <v>38</v>
      </c>
    </row>
    <row r="18" spans="1:6" ht="54.75" customHeight="1" thickBot="1" x14ac:dyDescent="0.4">
      <c r="A18" s="1"/>
      <c r="B18" s="18"/>
      <c r="C18" s="20" t="s">
        <v>39</v>
      </c>
      <c r="D18" s="7" t="s">
        <v>11</v>
      </c>
      <c r="E18" s="11" t="s">
        <v>40</v>
      </c>
      <c r="F18" s="4" t="s">
        <v>41</v>
      </c>
    </row>
    <row r="19" spans="1:6" ht="15" thickBot="1" x14ac:dyDescent="0.4">
      <c r="A19" s="1"/>
      <c r="B19" s="18"/>
      <c r="C19" s="21" t="s">
        <v>42</v>
      </c>
      <c r="D19" s="7">
        <v>4</v>
      </c>
      <c r="E19" s="8" t="s">
        <v>8</v>
      </c>
    </row>
    <row r="20" spans="1:6" ht="27.5" thickBot="1" x14ac:dyDescent="0.4">
      <c r="A20" s="1"/>
      <c r="B20" s="18"/>
      <c r="C20" s="6" t="s">
        <v>43</v>
      </c>
      <c r="D20" s="7">
        <v>4</v>
      </c>
      <c r="E20" s="8" t="s">
        <v>8</v>
      </c>
      <c r="F20" s="4" t="s">
        <v>44</v>
      </c>
    </row>
    <row r="21" spans="1:6" ht="27.5" thickBot="1" x14ac:dyDescent="0.4">
      <c r="A21" s="1"/>
      <c r="B21" s="18"/>
      <c r="C21" s="6" t="s">
        <v>45</v>
      </c>
      <c r="D21" s="7">
        <v>4</v>
      </c>
      <c r="E21" s="8" t="s">
        <v>8</v>
      </c>
      <c r="F21" s="4" t="s">
        <v>46</v>
      </c>
    </row>
    <row r="22" spans="1:6" ht="44" thickBot="1" x14ac:dyDescent="0.4">
      <c r="A22" s="1"/>
      <c r="B22" s="18"/>
      <c r="C22" s="6" t="s">
        <v>47</v>
      </c>
      <c r="D22" s="7">
        <v>4</v>
      </c>
      <c r="E22" s="8" t="s">
        <v>8</v>
      </c>
      <c r="F22" s="4" t="s">
        <v>48</v>
      </c>
    </row>
    <row r="23" spans="1:6" ht="29.5" thickBot="1" x14ac:dyDescent="0.4">
      <c r="A23" s="1"/>
      <c r="B23" s="18"/>
      <c r="C23" s="6" t="s">
        <v>49</v>
      </c>
      <c r="D23" s="10">
        <v>2</v>
      </c>
      <c r="E23" s="16" t="s">
        <v>50</v>
      </c>
      <c r="F23" s="4" t="s">
        <v>51</v>
      </c>
    </row>
    <row r="24" spans="1:6" ht="16.149999999999999" customHeight="1" thickBot="1" x14ac:dyDescent="0.4">
      <c r="A24" s="14"/>
      <c r="B24" s="9"/>
      <c r="C24" s="15" t="s">
        <v>52</v>
      </c>
      <c r="D24" s="7">
        <v>4</v>
      </c>
      <c r="E24" s="8" t="s">
        <v>8</v>
      </c>
      <c r="F24" s="19" t="s">
        <v>53</v>
      </c>
    </row>
    <row r="25" spans="1:6" ht="27.5" thickBot="1" x14ac:dyDescent="0.4">
      <c r="A25" s="1"/>
      <c r="B25" s="18"/>
      <c r="C25" s="6" t="s">
        <v>54</v>
      </c>
      <c r="D25" s="7">
        <v>2</v>
      </c>
      <c r="E25" s="16" t="s">
        <v>55</v>
      </c>
      <c r="F25" s="19" t="s">
        <v>56</v>
      </c>
    </row>
    <row r="26" spans="1:6" ht="29.5" thickBot="1" x14ac:dyDescent="0.4">
      <c r="A26" s="1"/>
      <c r="B26" s="18"/>
      <c r="C26" s="21" t="s">
        <v>57</v>
      </c>
      <c r="D26" s="10" t="s">
        <v>11</v>
      </c>
      <c r="E26" s="8" t="s">
        <v>8</v>
      </c>
      <c r="F26" s="19" t="s">
        <v>58</v>
      </c>
    </row>
    <row r="27" spans="1:6" ht="15" thickBot="1" x14ac:dyDescent="0.4">
      <c r="A27" s="1"/>
      <c r="B27" s="18" t="s">
        <v>59</v>
      </c>
      <c r="C27" s="6" t="s">
        <v>60</v>
      </c>
      <c r="D27" s="7">
        <v>4</v>
      </c>
      <c r="E27" s="8" t="s">
        <v>61</v>
      </c>
    </row>
    <row r="28" spans="1:6" ht="27.5" thickBot="1" x14ac:dyDescent="0.4">
      <c r="A28" s="1"/>
      <c r="B28" s="18"/>
      <c r="C28" s="6" t="s">
        <v>62</v>
      </c>
      <c r="D28" s="7">
        <v>2</v>
      </c>
      <c r="E28" s="13"/>
      <c r="F28" s="4" t="s">
        <v>63</v>
      </c>
    </row>
    <row r="29" spans="1:6" ht="44" thickBot="1" x14ac:dyDescent="0.4">
      <c r="A29" s="1"/>
      <c r="B29" s="18"/>
      <c r="C29" s="6" t="s">
        <v>64</v>
      </c>
      <c r="D29" s="7">
        <v>4</v>
      </c>
      <c r="E29" s="8" t="s">
        <v>61</v>
      </c>
      <c r="F29" s="4" t="s">
        <v>65</v>
      </c>
    </row>
    <row r="30" spans="1:6" ht="27.5" thickBot="1" x14ac:dyDescent="0.4">
      <c r="A30" s="1"/>
      <c r="B30" s="18"/>
      <c r="C30" s="6" t="s">
        <v>66</v>
      </c>
      <c r="D30" s="7">
        <v>4</v>
      </c>
      <c r="E30" s="8" t="s">
        <v>61</v>
      </c>
    </row>
    <row r="31" spans="1:6" ht="27.5" thickBot="1" x14ac:dyDescent="0.4">
      <c r="A31" s="1"/>
      <c r="B31" s="18"/>
      <c r="C31" s="6" t="s">
        <v>67</v>
      </c>
      <c r="D31" s="7">
        <v>4</v>
      </c>
      <c r="E31" s="8" t="s">
        <v>61</v>
      </c>
      <c r="F31" s="19" t="s">
        <v>68</v>
      </c>
    </row>
    <row r="32" spans="1:6" ht="30" customHeight="1" thickBot="1" x14ac:dyDescent="0.4">
      <c r="A32" s="1"/>
      <c r="B32" s="18"/>
      <c r="C32" s="6" t="s">
        <v>69</v>
      </c>
      <c r="D32" s="7">
        <v>4</v>
      </c>
      <c r="E32" s="8" t="s">
        <v>8</v>
      </c>
      <c r="F32" s="4" t="s">
        <v>70</v>
      </c>
    </row>
    <row r="33" spans="1:6" ht="27.5" thickBot="1" x14ac:dyDescent="0.4">
      <c r="A33" s="1"/>
      <c r="B33" s="18"/>
      <c r="C33" s="6" t="s">
        <v>71</v>
      </c>
      <c r="D33" s="7">
        <v>4</v>
      </c>
      <c r="E33" s="8" t="s">
        <v>8</v>
      </c>
    </row>
    <row r="34" spans="1:6" ht="27.5" thickBot="1" x14ac:dyDescent="0.4">
      <c r="A34" s="1"/>
      <c r="B34" s="18"/>
      <c r="C34" s="22" t="s">
        <v>72</v>
      </c>
      <c r="D34" s="7">
        <v>4</v>
      </c>
      <c r="E34" s="8" t="s">
        <v>61</v>
      </c>
    </row>
    <row r="35" spans="1:6" ht="58.5" thickBot="1" x14ac:dyDescent="0.4">
      <c r="A35" s="1"/>
      <c r="B35" s="18"/>
      <c r="C35" s="6" t="s">
        <v>73</v>
      </c>
      <c r="D35" s="7">
        <v>4</v>
      </c>
      <c r="E35" s="13"/>
      <c r="F35" s="4" t="s">
        <v>74</v>
      </c>
    </row>
    <row r="36" spans="1:6" ht="27.5" thickBot="1" x14ac:dyDescent="0.4">
      <c r="A36" s="1"/>
      <c r="B36" s="18"/>
      <c r="C36" s="6" t="s">
        <v>75</v>
      </c>
      <c r="D36" s="7">
        <v>4</v>
      </c>
      <c r="E36" s="8" t="s">
        <v>61</v>
      </c>
    </row>
    <row r="37" spans="1:6" ht="27.5" thickBot="1" x14ac:dyDescent="0.4">
      <c r="A37" s="1"/>
      <c r="B37" s="18"/>
      <c r="C37" s="6" t="s">
        <v>76</v>
      </c>
      <c r="D37" s="7">
        <v>5</v>
      </c>
      <c r="E37" s="8" t="s">
        <v>61</v>
      </c>
    </row>
    <row r="38" spans="1:6" ht="27.5" thickBot="1" x14ac:dyDescent="0.4">
      <c r="A38" s="1"/>
      <c r="B38" s="18"/>
      <c r="C38" s="6" t="s">
        <v>77</v>
      </c>
      <c r="D38" s="7">
        <v>4</v>
      </c>
      <c r="E38" s="8" t="s">
        <v>61</v>
      </c>
    </row>
    <row r="39" spans="1:6" ht="27.5" thickBot="1" x14ac:dyDescent="0.4">
      <c r="A39" s="1"/>
      <c r="B39" s="18"/>
      <c r="C39" s="6" t="s">
        <v>78</v>
      </c>
      <c r="D39" s="7">
        <v>4</v>
      </c>
      <c r="E39" s="8" t="s">
        <v>61</v>
      </c>
    </row>
    <row r="40" spans="1:6" ht="29.5" customHeight="1" thickBot="1" x14ac:dyDescent="0.4">
      <c r="A40" s="14"/>
      <c r="B40" s="9"/>
      <c r="C40" s="15" t="s">
        <v>79</v>
      </c>
      <c r="D40" s="7">
        <v>4</v>
      </c>
      <c r="E40" s="13"/>
    </row>
    <row r="41" spans="1:6" ht="16.149999999999999" customHeight="1" thickBot="1" x14ac:dyDescent="0.4">
      <c r="A41" s="14"/>
      <c r="B41" s="9"/>
      <c r="C41" s="15" t="s">
        <v>80</v>
      </c>
      <c r="D41" s="7">
        <v>4</v>
      </c>
      <c r="E41" s="13"/>
    </row>
    <row r="42" spans="1:6" ht="27.5" thickBot="1" x14ac:dyDescent="0.4">
      <c r="A42" s="1"/>
      <c r="B42" s="18"/>
      <c r="C42" s="6" t="s">
        <v>81</v>
      </c>
      <c r="D42" s="7">
        <v>4</v>
      </c>
      <c r="E42" s="8" t="s">
        <v>61</v>
      </c>
    </row>
    <row r="43" spans="1:6" ht="16.149999999999999" customHeight="1" thickBot="1" x14ac:dyDescent="0.4">
      <c r="A43" s="14"/>
      <c r="B43" s="9"/>
      <c r="C43" s="15" t="s">
        <v>82</v>
      </c>
      <c r="D43" s="7" t="s">
        <v>11</v>
      </c>
      <c r="E43" s="13"/>
    </row>
    <row r="44" spans="1:6" ht="15" thickBot="1" x14ac:dyDescent="0.4">
      <c r="A44" s="1"/>
      <c r="B44" s="18"/>
      <c r="C44" s="6" t="s">
        <v>83</v>
      </c>
      <c r="D44" s="7">
        <v>4</v>
      </c>
      <c r="E44" s="8" t="s">
        <v>61</v>
      </c>
    </row>
    <row r="45" spans="1:6" ht="15" thickBot="1" x14ac:dyDescent="0.4">
      <c r="A45" s="1"/>
      <c r="B45" s="18"/>
      <c r="C45" s="6" t="s">
        <v>84</v>
      </c>
      <c r="D45" s="7">
        <v>5</v>
      </c>
      <c r="E45" s="8" t="s">
        <v>61</v>
      </c>
    </row>
    <row r="46" spans="1:6" ht="24" customHeight="1" thickBot="1" x14ac:dyDescent="0.4">
      <c r="A46" s="1"/>
      <c r="B46" s="18"/>
      <c r="C46" s="6" t="s">
        <v>85</v>
      </c>
      <c r="D46" s="7">
        <v>4</v>
      </c>
      <c r="E46" s="13"/>
    </row>
    <row r="47" spans="1:6" ht="15" customHeight="1" thickBot="1" x14ac:dyDescent="0.4">
      <c r="A47" s="1"/>
      <c r="B47" s="18"/>
      <c r="C47" s="6" t="s">
        <v>86</v>
      </c>
      <c r="D47" s="7">
        <v>4</v>
      </c>
      <c r="E47" s="8" t="s">
        <v>61</v>
      </c>
    </row>
    <row r="48" spans="1:6" ht="29.5" customHeight="1" thickBot="1" x14ac:dyDescent="0.4">
      <c r="A48" s="14"/>
      <c r="B48" s="9"/>
      <c r="C48" s="23" t="s">
        <v>87</v>
      </c>
      <c r="D48" s="7">
        <v>4</v>
      </c>
      <c r="E48" s="13"/>
    </row>
    <row r="49" spans="1:6" ht="16.149999999999999" customHeight="1" thickBot="1" x14ac:dyDescent="0.4">
      <c r="A49" s="14"/>
      <c r="B49" s="9"/>
      <c r="C49" s="15" t="s">
        <v>88</v>
      </c>
      <c r="D49" s="7">
        <v>4</v>
      </c>
      <c r="E49" s="8" t="s">
        <v>8</v>
      </c>
    </row>
    <row r="50" spans="1:6" ht="29.5" customHeight="1" thickBot="1" x14ac:dyDescent="0.4">
      <c r="A50" s="14"/>
      <c r="B50" s="9"/>
      <c r="C50" s="15" t="s">
        <v>89</v>
      </c>
      <c r="D50" s="7">
        <v>4</v>
      </c>
      <c r="E50" s="13"/>
    </row>
    <row r="51" spans="1:6" ht="29.5" customHeight="1" thickBot="1" x14ac:dyDescent="0.4">
      <c r="A51" s="14"/>
      <c r="B51" s="9"/>
      <c r="C51" s="15" t="s">
        <v>90</v>
      </c>
      <c r="D51" s="7">
        <v>4</v>
      </c>
      <c r="E51" s="8" t="s">
        <v>8</v>
      </c>
      <c r="F51" s="4" t="s">
        <v>91</v>
      </c>
    </row>
    <row r="52" spans="1:6" ht="16.149999999999999" customHeight="1" thickBot="1" x14ac:dyDescent="0.4">
      <c r="A52" s="14"/>
      <c r="B52" s="9"/>
      <c r="C52" s="24" t="s">
        <v>92</v>
      </c>
      <c r="D52" s="7" t="s">
        <v>11</v>
      </c>
      <c r="E52" s="13"/>
    </row>
    <row r="53" spans="1:6" ht="29.5" customHeight="1" thickBot="1" x14ac:dyDescent="0.4">
      <c r="A53" s="14"/>
      <c r="B53" s="9"/>
      <c r="C53" s="15" t="s">
        <v>93</v>
      </c>
      <c r="D53" s="7">
        <v>4</v>
      </c>
      <c r="E53" s="13"/>
    </row>
    <row r="54" spans="1:6" ht="29.5" customHeight="1" thickBot="1" x14ac:dyDescent="0.4">
      <c r="A54" s="14"/>
      <c r="B54" s="9"/>
      <c r="C54" s="15" t="s">
        <v>94</v>
      </c>
      <c r="D54" s="7">
        <v>4</v>
      </c>
      <c r="E54" s="8" t="s">
        <v>8</v>
      </c>
    </row>
    <row r="55" spans="1:6" ht="27.5" thickBot="1" x14ac:dyDescent="0.4">
      <c r="A55" s="1"/>
      <c r="B55" s="18"/>
      <c r="C55" s="6" t="s">
        <v>95</v>
      </c>
      <c r="D55" s="7">
        <v>4</v>
      </c>
      <c r="E55" s="8" t="s">
        <v>8</v>
      </c>
    </row>
    <row r="56" spans="1:6" ht="27.5" thickBot="1" x14ac:dyDescent="0.4">
      <c r="A56" s="1"/>
      <c r="B56" s="18" t="s">
        <v>96</v>
      </c>
      <c r="C56" s="6" t="s">
        <v>97</v>
      </c>
      <c r="D56" s="7">
        <v>4</v>
      </c>
      <c r="E56" s="13"/>
      <c r="F56" s="4" t="s">
        <v>98</v>
      </c>
    </row>
    <row r="57" spans="1:6" ht="29.5" thickBot="1" x14ac:dyDescent="0.4">
      <c r="A57" s="1"/>
      <c r="B57" s="18"/>
      <c r="C57" s="6" t="s">
        <v>99</v>
      </c>
      <c r="D57" s="12">
        <v>2</v>
      </c>
      <c r="E57" s="8" t="s">
        <v>8</v>
      </c>
      <c r="F57" s="4" t="s">
        <v>100</v>
      </c>
    </row>
    <row r="58" spans="1:6" ht="15" thickBot="1" x14ac:dyDescent="0.4">
      <c r="A58" s="1"/>
      <c r="B58" s="18"/>
      <c r="C58" s="25" t="s">
        <v>101</v>
      </c>
      <c r="D58" s="12">
        <v>2</v>
      </c>
      <c r="E58" s="8" t="s">
        <v>8</v>
      </c>
      <c r="F58" s="4" t="s">
        <v>102</v>
      </c>
    </row>
    <row r="59" spans="1:6" ht="41" thickBot="1" x14ac:dyDescent="0.4">
      <c r="A59" s="1"/>
      <c r="B59" s="18"/>
      <c r="C59" s="6" t="s">
        <v>103</v>
      </c>
      <c r="D59" s="12">
        <v>2</v>
      </c>
      <c r="E59" s="8" t="s">
        <v>8</v>
      </c>
      <c r="F59" s="4" t="s">
        <v>104</v>
      </c>
    </row>
    <row r="60" spans="1:6" ht="27.5" thickBot="1" x14ac:dyDescent="0.4">
      <c r="A60" s="1"/>
      <c r="B60" s="18"/>
      <c r="C60" s="6" t="s">
        <v>105</v>
      </c>
      <c r="D60" s="12">
        <v>2</v>
      </c>
      <c r="E60" s="26" t="s">
        <v>8</v>
      </c>
    </row>
    <row r="61" spans="1:6" ht="29.5" customHeight="1" thickBot="1" x14ac:dyDescent="0.4">
      <c r="A61" s="14"/>
      <c r="B61" s="9"/>
      <c r="C61" s="15" t="s">
        <v>106</v>
      </c>
      <c r="D61" s="10">
        <v>4</v>
      </c>
      <c r="E61" s="26" t="s">
        <v>61</v>
      </c>
    </row>
    <row r="62" spans="1:6" ht="29.5" customHeight="1" thickBot="1" x14ac:dyDescent="0.4">
      <c r="A62" s="14"/>
      <c r="B62" s="9"/>
      <c r="C62" s="15" t="s">
        <v>107</v>
      </c>
      <c r="D62" s="27">
        <v>2</v>
      </c>
      <c r="E62" s="26" t="s">
        <v>61</v>
      </c>
    </row>
    <row r="63" spans="1:6" ht="87.5" thickBot="1" x14ac:dyDescent="0.4">
      <c r="A63" s="1" t="s">
        <v>108</v>
      </c>
      <c r="B63" s="28" t="s">
        <v>6</v>
      </c>
      <c r="C63" s="6" t="s">
        <v>109</v>
      </c>
      <c r="D63" s="10">
        <v>4</v>
      </c>
      <c r="E63" s="13"/>
      <c r="F63" s="4" t="s">
        <v>110</v>
      </c>
    </row>
    <row r="64" spans="1:6" ht="30" customHeight="1" thickBot="1" x14ac:dyDescent="0.4">
      <c r="A64" s="1"/>
      <c r="B64" s="28"/>
      <c r="C64" s="22" t="s">
        <v>111</v>
      </c>
      <c r="D64" s="29">
        <v>4</v>
      </c>
      <c r="E64" s="8" t="s">
        <v>8</v>
      </c>
      <c r="F64" s="4" t="s">
        <v>112</v>
      </c>
    </row>
    <row r="65" spans="1:6" ht="27.5" thickBot="1" x14ac:dyDescent="0.4">
      <c r="A65" s="30"/>
      <c r="B65" s="30"/>
      <c r="C65" s="15" t="s">
        <v>113</v>
      </c>
      <c r="D65" s="10" t="s">
        <v>11</v>
      </c>
      <c r="E65" s="13"/>
      <c r="F65" s="4" t="s">
        <v>114</v>
      </c>
    </row>
    <row r="66" spans="1:6" ht="41" thickBot="1" x14ac:dyDescent="0.4">
      <c r="A66" s="1"/>
      <c r="B66" s="28"/>
      <c r="C66" s="6" t="s">
        <v>115</v>
      </c>
      <c r="D66" s="10">
        <v>4</v>
      </c>
      <c r="E66" s="26" t="s">
        <v>61</v>
      </c>
    </row>
    <row r="67" spans="1:6" ht="87.5" thickBot="1" x14ac:dyDescent="0.4">
      <c r="A67" s="30"/>
      <c r="B67" s="30"/>
      <c r="C67" s="24" t="s">
        <v>116</v>
      </c>
      <c r="D67" s="10">
        <v>4</v>
      </c>
      <c r="E67" s="13"/>
      <c r="F67" s="4" t="s">
        <v>117</v>
      </c>
    </row>
    <row r="68" spans="1:6" ht="29.5" thickBot="1" x14ac:dyDescent="0.4">
      <c r="A68" s="1"/>
      <c r="B68" s="28" t="s">
        <v>118</v>
      </c>
      <c r="C68" s="25" t="s">
        <v>119</v>
      </c>
      <c r="D68" s="10">
        <v>4</v>
      </c>
      <c r="E68" s="26" t="s">
        <v>61</v>
      </c>
      <c r="F68" s="4" t="s">
        <v>120</v>
      </c>
    </row>
    <row r="69" spans="1:6" ht="15" thickBot="1" x14ac:dyDescent="0.4">
      <c r="A69" s="1"/>
      <c r="B69" s="28"/>
      <c r="C69" s="25" t="s">
        <v>121</v>
      </c>
      <c r="D69" s="10">
        <v>4</v>
      </c>
      <c r="E69" s="8" t="s">
        <v>8</v>
      </c>
      <c r="F69" s="4" t="s">
        <v>122</v>
      </c>
    </row>
    <row r="70" spans="1:6" ht="15" thickBot="1" x14ac:dyDescent="0.4">
      <c r="A70" s="1"/>
      <c r="B70" s="28"/>
      <c r="C70" s="25" t="s">
        <v>123</v>
      </c>
      <c r="D70" s="10">
        <v>4</v>
      </c>
      <c r="E70" s="26" t="s">
        <v>61</v>
      </c>
      <c r="F70" s="4" t="s">
        <v>124</v>
      </c>
    </row>
    <row r="71" spans="1:6" ht="29.5" thickBot="1" x14ac:dyDescent="0.4">
      <c r="A71" s="1"/>
      <c r="B71" s="28"/>
      <c r="C71" s="25" t="s">
        <v>125</v>
      </c>
      <c r="D71" s="10">
        <v>4</v>
      </c>
      <c r="E71" s="26" t="s">
        <v>61</v>
      </c>
      <c r="F71" s="4" t="s">
        <v>126</v>
      </c>
    </row>
    <row r="72" spans="1:6" ht="29.5" thickBot="1" x14ac:dyDescent="0.4">
      <c r="A72" s="1"/>
      <c r="B72" s="28"/>
      <c r="C72" s="6" t="s">
        <v>127</v>
      </c>
      <c r="D72" s="10">
        <v>4</v>
      </c>
      <c r="E72" s="26" t="s">
        <v>8</v>
      </c>
      <c r="F72" s="4" t="s">
        <v>128</v>
      </c>
    </row>
    <row r="73" spans="1:6" ht="44" thickBot="1" x14ac:dyDescent="0.4">
      <c r="A73" s="1"/>
      <c r="B73" s="28"/>
      <c r="C73" s="25" t="s">
        <v>129</v>
      </c>
      <c r="D73" s="12">
        <v>2</v>
      </c>
      <c r="E73" s="26" t="s">
        <v>61</v>
      </c>
      <c r="F73" s="4" t="s">
        <v>130</v>
      </c>
    </row>
    <row r="74" spans="1:6" ht="27.5" thickBot="1" x14ac:dyDescent="0.4">
      <c r="A74" s="1"/>
      <c r="B74" s="28"/>
      <c r="C74" s="6" t="s">
        <v>131</v>
      </c>
      <c r="D74" s="10">
        <v>4</v>
      </c>
      <c r="E74" s="26" t="s">
        <v>61</v>
      </c>
    </row>
    <row r="75" spans="1:6" ht="15" thickBot="1" x14ac:dyDescent="0.4">
      <c r="A75" s="1"/>
      <c r="B75" s="28"/>
      <c r="C75" s="25" t="s">
        <v>132</v>
      </c>
      <c r="D75" s="10">
        <v>4</v>
      </c>
      <c r="E75" s="26" t="s">
        <v>61</v>
      </c>
      <c r="F75" s="4" t="s">
        <v>133</v>
      </c>
    </row>
    <row r="76" spans="1:6" ht="29.5" thickBot="1" x14ac:dyDescent="0.4">
      <c r="A76" s="1"/>
      <c r="B76" s="28"/>
      <c r="C76" s="25" t="s">
        <v>134</v>
      </c>
      <c r="D76" s="10">
        <v>4</v>
      </c>
      <c r="E76" s="26" t="s">
        <v>61</v>
      </c>
      <c r="F76" s="4" t="s">
        <v>135</v>
      </c>
    </row>
    <row r="77" spans="1:6" ht="29.5" thickBot="1" x14ac:dyDescent="0.4">
      <c r="A77" s="1"/>
      <c r="B77" s="28"/>
      <c r="C77" s="6" t="s">
        <v>136</v>
      </c>
      <c r="D77" s="10">
        <v>4</v>
      </c>
      <c r="E77" s="26" t="s">
        <v>61</v>
      </c>
      <c r="F77" s="4" t="s">
        <v>137</v>
      </c>
    </row>
    <row r="78" spans="1:6" ht="15" thickBot="1" x14ac:dyDescent="0.4">
      <c r="A78" s="1"/>
      <c r="B78" s="28"/>
      <c r="C78" s="31" t="s">
        <v>138</v>
      </c>
      <c r="D78" s="10" t="s">
        <v>11</v>
      </c>
      <c r="E78" s="26" t="s">
        <v>61</v>
      </c>
      <c r="F78" s="4" t="s">
        <v>139</v>
      </c>
    </row>
    <row r="79" spans="1:6" ht="41" thickBot="1" x14ac:dyDescent="0.4">
      <c r="A79" s="1"/>
      <c r="B79" s="28" t="s">
        <v>140</v>
      </c>
      <c r="C79" s="6" t="s">
        <v>141</v>
      </c>
      <c r="D79" s="10">
        <v>4</v>
      </c>
      <c r="E79" s="26" t="s">
        <v>61</v>
      </c>
    </row>
    <row r="80" spans="1:6" ht="27.5" thickBot="1" x14ac:dyDescent="0.4">
      <c r="A80" s="1"/>
      <c r="B80" s="28"/>
      <c r="C80" s="6" t="s">
        <v>142</v>
      </c>
      <c r="D80" s="10">
        <v>4</v>
      </c>
      <c r="E80" s="26" t="s">
        <v>61</v>
      </c>
      <c r="F80" s="4" t="s">
        <v>143</v>
      </c>
    </row>
    <row r="81" spans="1:6" ht="27.5" thickBot="1" x14ac:dyDescent="0.4">
      <c r="A81" s="1"/>
      <c r="B81" s="28"/>
      <c r="C81" s="6" t="s">
        <v>144</v>
      </c>
      <c r="D81" s="10">
        <v>4</v>
      </c>
      <c r="E81" s="8" t="s">
        <v>8</v>
      </c>
      <c r="F81" s="4" t="s">
        <v>145</v>
      </c>
    </row>
    <row r="82" spans="1:6" ht="41" thickBot="1" x14ac:dyDescent="0.4">
      <c r="A82" s="1"/>
      <c r="B82" s="28"/>
      <c r="C82" s="6" t="s">
        <v>146</v>
      </c>
      <c r="D82" s="10">
        <v>4</v>
      </c>
      <c r="E82" s="26" t="s">
        <v>61</v>
      </c>
      <c r="F82" s="4" t="s">
        <v>147</v>
      </c>
    </row>
    <row r="83" spans="1:6" ht="29.5" thickBot="1" x14ac:dyDescent="0.4">
      <c r="A83" s="1"/>
      <c r="B83" s="28"/>
      <c r="C83" s="25" t="s">
        <v>148</v>
      </c>
      <c r="D83" s="10">
        <v>4</v>
      </c>
      <c r="E83" s="26" t="s">
        <v>8</v>
      </c>
      <c r="F83" s="4" t="s">
        <v>149</v>
      </c>
    </row>
    <row r="84" spans="1:6" ht="27.5" thickBot="1" x14ac:dyDescent="0.4">
      <c r="A84" s="30"/>
      <c r="B84" s="30"/>
      <c r="C84" s="15" t="s">
        <v>150</v>
      </c>
      <c r="D84" s="10" t="s">
        <v>11</v>
      </c>
      <c r="E84" s="13"/>
    </row>
    <row r="85" spans="1:6" ht="29.5" customHeight="1" thickBot="1" x14ac:dyDescent="0.4">
      <c r="A85" s="1"/>
      <c r="B85" s="28"/>
      <c r="C85" s="6" t="s">
        <v>151</v>
      </c>
      <c r="D85" s="10">
        <v>4</v>
      </c>
      <c r="E85" s="26" t="s">
        <v>61</v>
      </c>
      <c r="F85" s="4" t="s">
        <v>152</v>
      </c>
    </row>
    <row r="86" spans="1:6" ht="16.149999999999999" customHeight="1" thickBot="1" x14ac:dyDescent="0.4">
      <c r="A86" s="30"/>
      <c r="B86" s="30"/>
      <c r="C86" s="24" t="s">
        <v>153</v>
      </c>
      <c r="D86" s="12">
        <v>2</v>
      </c>
      <c r="E86" s="26" t="s">
        <v>61</v>
      </c>
      <c r="F86" s="4" t="s">
        <v>154</v>
      </c>
    </row>
    <row r="87" spans="1:6" ht="29.5" customHeight="1" thickBot="1" x14ac:dyDescent="0.4">
      <c r="A87" s="1"/>
      <c r="B87" s="28"/>
      <c r="C87" s="6" t="s">
        <v>155</v>
      </c>
      <c r="D87" s="10">
        <v>4</v>
      </c>
      <c r="E87" s="26" t="s">
        <v>61</v>
      </c>
      <c r="F87" s="4" t="s">
        <v>156</v>
      </c>
    </row>
    <row r="88" spans="1:6" ht="29.5" thickBot="1" x14ac:dyDescent="0.4">
      <c r="A88" s="30"/>
      <c r="B88" s="30"/>
      <c r="C88" s="32" t="s">
        <v>157</v>
      </c>
      <c r="D88" s="10" t="s">
        <v>11</v>
      </c>
      <c r="E88" s="13"/>
    </row>
    <row r="89" spans="1:6" ht="29.5" customHeight="1" thickBot="1" x14ac:dyDescent="0.4">
      <c r="A89" s="1"/>
      <c r="B89" s="28"/>
      <c r="C89" s="6" t="s">
        <v>158</v>
      </c>
      <c r="D89" s="10">
        <v>4</v>
      </c>
      <c r="E89" s="26" t="s">
        <v>61</v>
      </c>
    </row>
    <row r="90" spans="1:6" ht="29.5" customHeight="1" thickBot="1" x14ac:dyDescent="0.4">
      <c r="A90" s="1"/>
      <c r="B90" s="28"/>
      <c r="C90" s="6" t="s">
        <v>159</v>
      </c>
      <c r="D90" s="12">
        <v>2</v>
      </c>
      <c r="E90" s="26" t="s">
        <v>61</v>
      </c>
      <c r="F90" s="4" t="s">
        <v>160</v>
      </c>
    </row>
    <row r="91" spans="1:6" ht="27" customHeight="1" thickBot="1" x14ac:dyDescent="0.4">
      <c r="A91" s="30"/>
      <c r="B91" s="30" t="s">
        <v>161</v>
      </c>
      <c r="C91" s="15" t="s">
        <v>162</v>
      </c>
      <c r="D91" s="10" t="s">
        <v>11</v>
      </c>
      <c r="E91" s="26" t="s">
        <v>61</v>
      </c>
      <c r="F91" s="4" t="s">
        <v>163</v>
      </c>
    </row>
    <row r="92" spans="1:6" ht="27.5" thickBot="1" x14ac:dyDescent="0.4">
      <c r="A92" s="1"/>
      <c r="B92" s="28"/>
      <c r="C92" s="6" t="s">
        <v>164</v>
      </c>
      <c r="D92" s="10">
        <v>4</v>
      </c>
      <c r="E92" s="26" t="s">
        <v>61</v>
      </c>
      <c r="F92" s="4" t="s">
        <v>165</v>
      </c>
    </row>
    <row r="93" spans="1:6" ht="15" thickBot="1" x14ac:dyDescent="0.4">
      <c r="A93" s="1"/>
      <c r="B93" s="28"/>
      <c r="C93" s="25" t="s">
        <v>166</v>
      </c>
      <c r="D93" s="10">
        <v>4</v>
      </c>
      <c r="E93" s="26" t="s">
        <v>61</v>
      </c>
      <c r="F93" s="4" t="s">
        <v>167</v>
      </c>
    </row>
    <row r="94" spans="1:6" ht="29.5" thickBot="1" x14ac:dyDescent="0.4">
      <c r="A94" s="1"/>
      <c r="B94" s="28"/>
      <c r="C94" s="25" t="s">
        <v>168</v>
      </c>
      <c r="D94" s="10">
        <v>4</v>
      </c>
      <c r="E94" s="26" t="s">
        <v>61</v>
      </c>
      <c r="F94" s="4" t="s">
        <v>169</v>
      </c>
    </row>
    <row r="95" spans="1:6" ht="15" thickBot="1" x14ac:dyDescent="0.4">
      <c r="A95" s="1"/>
      <c r="B95" s="28"/>
      <c r="C95" s="25" t="s">
        <v>170</v>
      </c>
      <c r="D95" s="7">
        <v>4</v>
      </c>
      <c r="E95" s="16" t="s">
        <v>171</v>
      </c>
      <c r="F95" s="4" t="s">
        <v>172</v>
      </c>
    </row>
    <row r="96" spans="1:6" ht="15" thickBot="1" x14ac:dyDescent="0.4">
      <c r="A96" s="1"/>
      <c r="B96" s="28"/>
      <c r="C96" s="25" t="s">
        <v>173</v>
      </c>
      <c r="D96" s="10">
        <v>4</v>
      </c>
      <c r="E96" s="26" t="s">
        <v>61</v>
      </c>
    </row>
    <row r="97" spans="1:6" ht="27.65" customHeight="1" thickBot="1" x14ac:dyDescent="0.4">
      <c r="A97" s="30"/>
      <c r="B97" s="30"/>
      <c r="C97" s="15" t="s">
        <v>174</v>
      </c>
      <c r="D97" s="10">
        <v>4</v>
      </c>
      <c r="E97" s="26" t="s">
        <v>61</v>
      </c>
      <c r="F97" s="4" t="s">
        <v>175</v>
      </c>
    </row>
    <row r="98" spans="1:6" ht="70.5" customHeight="1" thickBot="1" x14ac:dyDescent="0.4">
      <c r="A98" s="1"/>
      <c r="B98" s="28"/>
      <c r="C98" s="31" t="s">
        <v>176</v>
      </c>
      <c r="D98" s="7">
        <v>4</v>
      </c>
      <c r="E98" s="16" t="s">
        <v>177</v>
      </c>
      <c r="F98" s="4" t="s">
        <v>178</v>
      </c>
    </row>
    <row r="99" spans="1:6" ht="58.5" thickBot="1" x14ac:dyDescent="0.4">
      <c r="A99" s="1"/>
      <c r="B99" s="28" t="s">
        <v>36</v>
      </c>
      <c r="C99" s="25" t="s">
        <v>179</v>
      </c>
      <c r="D99" s="12">
        <v>2</v>
      </c>
      <c r="E99" s="26" t="s">
        <v>61</v>
      </c>
      <c r="F99" s="4" t="s">
        <v>180</v>
      </c>
    </row>
    <row r="100" spans="1:6" ht="15" thickBot="1" x14ac:dyDescent="0.4">
      <c r="A100" s="1"/>
      <c r="B100" s="28"/>
      <c r="C100" s="25" t="s">
        <v>181</v>
      </c>
      <c r="D100" s="7">
        <v>4</v>
      </c>
      <c r="E100" s="8" t="s">
        <v>8</v>
      </c>
      <c r="F100" s="19" t="s">
        <v>182</v>
      </c>
    </row>
    <row r="101" spans="1:6" ht="27.5" thickBot="1" x14ac:dyDescent="0.4">
      <c r="A101" s="30"/>
      <c r="B101" s="30"/>
      <c r="C101" s="15" t="s">
        <v>183</v>
      </c>
      <c r="D101" s="7">
        <v>4</v>
      </c>
      <c r="E101" s="8" t="s">
        <v>8</v>
      </c>
      <c r="F101" s="4" t="s">
        <v>184</v>
      </c>
    </row>
    <row r="102" spans="1:6" ht="102" thickBot="1" x14ac:dyDescent="0.4">
      <c r="A102" s="1"/>
      <c r="B102" s="28"/>
      <c r="C102" s="25" t="s">
        <v>185</v>
      </c>
      <c r="D102" s="7">
        <v>4</v>
      </c>
      <c r="E102" s="26" t="s">
        <v>8</v>
      </c>
      <c r="F102" s="4" t="s">
        <v>186</v>
      </c>
    </row>
    <row r="103" spans="1:6" ht="27.5" thickBot="1" x14ac:dyDescent="0.4">
      <c r="A103" s="1"/>
      <c r="B103" s="28"/>
      <c r="C103" s="6" t="s">
        <v>187</v>
      </c>
      <c r="D103" s="12">
        <v>2</v>
      </c>
      <c r="E103" s="26" t="s">
        <v>8</v>
      </c>
      <c r="F103" s="4" t="s">
        <v>188</v>
      </c>
    </row>
    <row r="104" spans="1:6" ht="27.5" thickBot="1" x14ac:dyDescent="0.4">
      <c r="A104" s="1"/>
      <c r="B104" s="28"/>
      <c r="C104" s="6" t="s">
        <v>189</v>
      </c>
      <c r="D104" s="10">
        <v>4</v>
      </c>
      <c r="E104" s="26" t="s">
        <v>8</v>
      </c>
    </row>
    <row r="105" spans="1:6" ht="58.5" thickBot="1" x14ac:dyDescent="0.4">
      <c r="A105" s="1"/>
      <c r="B105" s="28" t="s">
        <v>190</v>
      </c>
      <c r="C105" s="6" t="s">
        <v>191</v>
      </c>
      <c r="D105" s="7">
        <v>4</v>
      </c>
      <c r="E105" s="8" t="s">
        <v>8</v>
      </c>
      <c r="F105" s="4" t="s">
        <v>192</v>
      </c>
    </row>
    <row r="106" spans="1:6" ht="41" thickBot="1" x14ac:dyDescent="0.4">
      <c r="A106" s="30"/>
      <c r="B106" s="30"/>
      <c r="C106" s="33" t="s">
        <v>193</v>
      </c>
      <c r="D106" s="10">
        <v>4</v>
      </c>
      <c r="E106" s="26" t="s">
        <v>8</v>
      </c>
      <c r="F106" s="4" t="s">
        <v>194</v>
      </c>
    </row>
    <row r="107" spans="1:6" ht="27.5" thickBot="1" x14ac:dyDescent="0.4">
      <c r="A107" s="30"/>
      <c r="B107" s="30"/>
      <c r="C107" s="15" t="s">
        <v>195</v>
      </c>
      <c r="D107" s="10" t="s">
        <v>11</v>
      </c>
      <c r="E107" s="26"/>
    </row>
    <row r="108" spans="1:6" ht="87.5" thickBot="1" x14ac:dyDescent="0.4">
      <c r="A108" s="1"/>
      <c r="B108" s="28"/>
      <c r="C108" s="6" t="s">
        <v>196</v>
      </c>
      <c r="D108" s="10">
        <v>4</v>
      </c>
      <c r="E108" s="26" t="s">
        <v>8</v>
      </c>
      <c r="F108" s="4" t="s">
        <v>197</v>
      </c>
    </row>
    <row r="109" spans="1:6" ht="44" thickBot="1" x14ac:dyDescent="0.4">
      <c r="A109" s="1"/>
      <c r="B109" s="28"/>
      <c r="C109" s="6" t="s">
        <v>198</v>
      </c>
      <c r="D109" s="10">
        <v>4</v>
      </c>
      <c r="E109" s="8" t="s">
        <v>8</v>
      </c>
      <c r="F109" s="4" t="s">
        <v>199</v>
      </c>
    </row>
    <row r="110" spans="1:6" ht="27.5" thickBot="1" x14ac:dyDescent="0.4">
      <c r="A110" s="1"/>
      <c r="B110" s="28"/>
      <c r="C110" s="22" t="s">
        <v>200</v>
      </c>
      <c r="D110" s="10">
        <v>4</v>
      </c>
      <c r="E110" s="26" t="s">
        <v>8</v>
      </c>
    </row>
    <row r="111" spans="1:6" ht="44" thickBot="1" x14ac:dyDescent="0.4">
      <c r="A111" s="1"/>
      <c r="B111" s="28"/>
      <c r="C111" s="20" t="s">
        <v>201</v>
      </c>
      <c r="D111" s="7">
        <v>4</v>
      </c>
      <c r="E111" s="8" t="s">
        <v>8</v>
      </c>
      <c r="F111" s="4" t="s">
        <v>202</v>
      </c>
    </row>
    <row r="112" spans="1:6" ht="27.5" thickBot="1" x14ac:dyDescent="0.4">
      <c r="A112" s="1"/>
      <c r="B112" s="28"/>
      <c r="C112" s="20" t="s">
        <v>203</v>
      </c>
      <c r="D112" s="7">
        <v>4</v>
      </c>
      <c r="E112" s="26" t="s">
        <v>8</v>
      </c>
    </row>
    <row r="113" spans="1:6" ht="27.5" thickBot="1" x14ac:dyDescent="0.4">
      <c r="A113" s="30"/>
      <c r="B113" s="30"/>
      <c r="C113" s="34" t="s">
        <v>204</v>
      </c>
      <c r="D113" s="7">
        <v>4</v>
      </c>
      <c r="E113" s="26" t="s">
        <v>8</v>
      </c>
    </row>
    <row r="114" spans="1:6" ht="27.5" thickBot="1" x14ac:dyDescent="0.4">
      <c r="A114" s="1"/>
      <c r="B114" s="28"/>
      <c r="C114" s="6" t="s">
        <v>205</v>
      </c>
      <c r="D114" s="10">
        <v>4</v>
      </c>
      <c r="E114" s="26" t="s">
        <v>8</v>
      </c>
    </row>
    <row r="115" spans="1:6" ht="44" thickBot="1" x14ac:dyDescent="0.4">
      <c r="A115" s="1"/>
      <c r="B115" s="28" t="s">
        <v>206</v>
      </c>
      <c r="C115" s="25" t="s">
        <v>207</v>
      </c>
      <c r="D115" s="10">
        <v>4</v>
      </c>
      <c r="E115" s="26" t="s">
        <v>8</v>
      </c>
      <c r="F115" s="4" t="s">
        <v>208</v>
      </c>
    </row>
    <row r="116" spans="1:6" ht="27.5" thickBot="1" x14ac:dyDescent="0.4">
      <c r="A116" s="1"/>
      <c r="B116" s="28"/>
      <c r="C116" s="6" t="s">
        <v>209</v>
      </c>
      <c r="D116" s="10">
        <v>4</v>
      </c>
      <c r="E116" s="26" t="s">
        <v>8</v>
      </c>
      <c r="F116" s="4" t="s">
        <v>210</v>
      </c>
    </row>
    <row r="117" spans="1:6" ht="44" thickBot="1" x14ac:dyDescent="0.4">
      <c r="A117" s="1"/>
      <c r="B117" s="28"/>
      <c r="C117" s="6" t="s">
        <v>211</v>
      </c>
      <c r="D117" s="12">
        <v>2</v>
      </c>
      <c r="E117" s="16" t="s">
        <v>212</v>
      </c>
      <c r="F117" s="4" t="s">
        <v>213</v>
      </c>
    </row>
    <row r="118" spans="1:6" ht="27.5" thickBot="1" x14ac:dyDescent="0.4">
      <c r="A118" s="1"/>
      <c r="B118" s="28"/>
      <c r="C118" s="6" t="s">
        <v>214</v>
      </c>
      <c r="D118" s="7">
        <v>4</v>
      </c>
      <c r="E118" s="26" t="s">
        <v>8</v>
      </c>
      <c r="F118" s="4" t="s">
        <v>215</v>
      </c>
    </row>
    <row r="119" spans="1:6" ht="15" thickBot="1" x14ac:dyDescent="0.4">
      <c r="A119" s="1"/>
      <c r="B119" s="28"/>
      <c r="C119" s="6" t="s">
        <v>216</v>
      </c>
      <c r="D119" s="10">
        <v>4</v>
      </c>
      <c r="E119" s="26" t="s">
        <v>8</v>
      </c>
      <c r="F119" s="4" t="s">
        <v>217</v>
      </c>
    </row>
    <row r="120" spans="1:6" ht="29.5" thickBot="1" x14ac:dyDescent="0.4">
      <c r="A120" s="1"/>
      <c r="B120" s="28"/>
      <c r="C120" s="31" t="s">
        <v>218</v>
      </c>
      <c r="D120" s="10">
        <v>4</v>
      </c>
      <c r="E120" s="26" t="s">
        <v>8</v>
      </c>
      <c r="F120" s="4" t="s">
        <v>219</v>
      </c>
    </row>
    <row r="121" spans="1:6" ht="58.5" thickBot="1" x14ac:dyDescent="0.4">
      <c r="A121" s="1"/>
      <c r="B121" s="28"/>
      <c r="C121" s="25" t="s">
        <v>220</v>
      </c>
      <c r="D121" s="12">
        <v>2</v>
      </c>
      <c r="E121" s="26" t="s">
        <v>8</v>
      </c>
      <c r="F121" s="4" t="s">
        <v>221</v>
      </c>
    </row>
    <row r="122" spans="1:6" ht="27.5" thickBot="1" x14ac:dyDescent="0.4">
      <c r="A122" s="1"/>
      <c r="B122" s="28"/>
      <c r="C122" s="6" t="s">
        <v>222</v>
      </c>
      <c r="D122" s="10">
        <v>4</v>
      </c>
      <c r="E122" s="26" t="s">
        <v>8</v>
      </c>
    </row>
    <row r="123" spans="1:6" ht="16" thickBot="1" x14ac:dyDescent="0.4">
      <c r="D123" s="13"/>
    </row>
    <row r="124" spans="1:6" ht="15" thickBot="1" x14ac:dyDescent="0.4"/>
    <row r="125" spans="1:6" x14ac:dyDescent="0.35">
      <c r="C125" s="35" t="s">
        <v>223</v>
      </c>
      <c r="D125" s="36">
        <v>121</v>
      </c>
    </row>
    <row r="126" spans="1:6" ht="16" x14ac:dyDescent="0.45">
      <c r="C126" s="37" t="s">
        <v>224</v>
      </c>
      <c r="D126" s="38">
        <f>COUNTIF(D2:D122,"&lt;&gt;*NS*")</f>
        <v>108</v>
      </c>
    </row>
    <row r="127" spans="1:6" ht="16" x14ac:dyDescent="0.45">
      <c r="C127" s="37" t="s">
        <v>225</v>
      </c>
      <c r="D127" s="38">
        <f>D125-D126</f>
        <v>13</v>
      </c>
    </row>
    <row r="128" spans="1:6" x14ac:dyDescent="0.35">
      <c r="C128" s="37" t="s">
        <v>226</v>
      </c>
      <c r="D128" s="39">
        <f>D126*5</f>
        <v>540</v>
      </c>
    </row>
    <row r="129" spans="3:6" x14ac:dyDescent="0.35">
      <c r="C129" s="37" t="s">
        <v>227</v>
      </c>
      <c r="D129" s="39">
        <f>SUM(D1:D122)</f>
        <v>393</v>
      </c>
    </row>
    <row r="130" spans="3:6" x14ac:dyDescent="0.35">
      <c r="C130" s="37" t="s">
        <v>228</v>
      </c>
      <c r="D130" s="40">
        <f>D129/D126</f>
        <v>3.6388888888888888</v>
      </c>
    </row>
    <row r="131" spans="3:6" ht="15" thickBot="1" x14ac:dyDescent="0.4">
      <c r="C131" s="41" t="s">
        <v>229</v>
      </c>
      <c r="D131" s="42">
        <f>D129*100/D128</f>
        <v>72.777777777777771</v>
      </c>
    </row>
    <row r="133" spans="3:6" ht="29.5" thickBot="1" x14ac:dyDescent="0.4">
      <c r="C133" s="43" t="s">
        <v>230</v>
      </c>
      <c r="D133" s="4" t="s">
        <v>231</v>
      </c>
      <c r="E133" s="4" t="s">
        <v>232</v>
      </c>
      <c r="F133" s="4" t="s">
        <v>233</v>
      </c>
    </row>
    <row r="134" spans="3:6" ht="16" thickBot="1" x14ac:dyDescent="0.4">
      <c r="C134" s="26" t="s">
        <v>6</v>
      </c>
      <c r="D134" s="44">
        <f>COUNTIFS(D2:D16, "&lt;&gt;*NS*")</f>
        <v>12</v>
      </c>
      <c r="E134" s="45">
        <f>AVERAGE(D1:D16)</f>
        <v>3.25</v>
      </c>
      <c r="F134" s="45">
        <f>SUM(D2:D16)*100/(5*D134)</f>
        <v>65</v>
      </c>
    </row>
    <row r="135" spans="3:6" ht="16" thickBot="1" x14ac:dyDescent="0.4">
      <c r="C135" s="46" t="s">
        <v>36</v>
      </c>
      <c r="D135" s="44">
        <f>COUNTIF(D17:D26,"&lt;&gt;*NS*")</f>
        <v>8</v>
      </c>
      <c r="E135" s="45">
        <f>AVERAGE(D17:D26)</f>
        <v>3.25</v>
      </c>
      <c r="F135" s="45">
        <f>SUM(D17:D26)*100/(5*D135)</f>
        <v>65</v>
      </c>
    </row>
    <row r="136" spans="3:6" ht="16" thickBot="1" x14ac:dyDescent="0.4">
      <c r="C136" s="46" t="s">
        <v>59</v>
      </c>
      <c r="D136" s="44">
        <f>COUNTIF(D27:D55,"&lt;&gt;*NS*")</f>
        <v>27</v>
      </c>
      <c r="E136" s="45">
        <f>AVERAGE(D27:D55)</f>
        <v>4</v>
      </c>
      <c r="F136" s="45">
        <f>SUM(D27:D55)*100/(5*D136)</f>
        <v>80</v>
      </c>
    </row>
    <row r="137" spans="3:6" ht="16" thickBot="1" x14ac:dyDescent="0.4">
      <c r="C137" s="46" t="s">
        <v>96</v>
      </c>
      <c r="D137" s="44">
        <f>COUNTIF(D56:D62,"&lt;&gt;*NS*")</f>
        <v>7</v>
      </c>
      <c r="E137" s="45">
        <f>AVERAGE(D56:D62)</f>
        <v>2.5714285714285716</v>
      </c>
      <c r="F137" s="45">
        <f>SUM(D56:D62)*100/(5*D137)</f>
        <v>51.428571428571431</v>
      </c>
    </row>
    <row r="138" spans="3:6" x14ac:dyDescent="0.35">
      <c r="E138" s="47"/>
      <c r="F138" s="47"/>
    </row>
    <row r="139" spans="3:6" ht="29.5" thickBot="1" x14ac:dyDescent="0.4">
      <c r="C139" s="43" t="s">
        <v>234</v>
      </c>
      <c r="D139" s="4" t="s">
        <v>231</v>
      </c>
      <c r="E139" s="4" t="s">
        <v>232</v>
      </c>
      <c r="F139" s="4" t="s">
        <v>233</v>
      </c>
    </row>
    <row r="140" spans="3:6" ht="16" thickBot="1" x14ac:dyDescent="0.4">
      <c r="C140" s="26" t="s">
        <v>6</v>
      </c>
      <c r="D140" s="44">
        <f>COUNTIF(D63:D67,"&lt;&gt;*NS*")</f>
        <v>4</v>
      </c>
      <c r="E140" s="45">
        <f>AVERAGE(D63:D67)</f>
        <v>4</v>
      </c>
      <c r="F140" s="45">
        <f>SUM(D63:D67)*100/(5*D140)</f>
        <v>80</v>
      </c>
    </row>
    <row r="141" spans="3:6" ht="16" thickBot="1" x14ac:dyDescent="0.4">
      <c r="C141" s="46" t="s">
        <v>235</v>
      </c>
      <c r="D141" s="44">
        <f>COUNTIF(D68:D78,"&lt;&gt;*NS*")</f>
        <v>10</v>
      </c>
      <c r="E141" s="45">
        <f>AVERAGE(D68:D78)</f>
        <v>3.8</v>
      </c>
      <c r="F141" s="45">
        <f>SUM(D68:D78)*100/(5*D141)</f>
        <v>76</v>
      </c>
    </row>
    <row r="142" spans="3:6" ht="16" thickBot="1" x14ac:dyDescent="0.4">
      <c r="C142" s="46" t="s">
        <v>140</v>
      </c>
      <c r="D142" s="44">
        <f>COUNTIF(D79:D90,"&lt;&gt;*NS*")</f>
        <v>10</v>
      </c>
      <c r="E142" s="45">
        <f>AVERAGE(D79:D90)</f>
        <v>3.6</v>
      </c>
      <c r="F142" s="45">
        <f>SUM(D79:D90)*100/(5*D142)</f>
        <v>72</v>
      </c>
    </row>
    <row r="143" spans="3:6" ht="16" thickBot="1" x14ac:dyDescent="0.4">
      <c r="C143" s="46" t="s">
        <v>161</v>
      </c>
      <c r="D143" s="44">
        <f>COUNTIF(D91:D98,"&lt;&gt;*NS*")</f>
        <v>7</v>
      </c>
      <c r="E143" s="45">
        <f>AVERAGE(D91:D98)</f>
        <v>4</v>
      </c>
      <c r="F143" s="45">
        <f>SUM(D91:D98)*100/(5*D143)</f>
        <v>80</v>
      </c>
    </row>
    <row r="144" spans="3:6" ht="16" thickBot="1" x14ac:dyDescent="0.4">
      <c r="C144" s="46" t="s">
        <v>36</v>
      </c>
      <c r="D144" s="44">
        <f>COUNTIF(D99:D104,"&lt;&gt;*NS*")</f>
        <v>6</v>
      </c>
      <c r="E144" s="45">
        <f>AVERAGE(D99:D104)</f>
        <v>3.3333333333333335</v>
      </c>
      <c r="F144" s="45">
        <f>SUM(D99:D104)*100/(5*D144)</f>
        <v>66.666666666666671</v>
      </c>
    </row>
    <row r="145" spans="3:6" ht="16" thickBot="1" x14ac:dyDescent="0.4">
      <c r="C145" s="46" t="s">
        <v>190</v>
      </c>
      <c r="D145" s="44">
        <f>COUNTIF(D105:D114,"&lt;&gt;*NS*")</f>
        <v>9</v>
      </c>
      <c r="E145" s="45">
        <f>AVERAGE(D105:D114)</f>
        <v>4</v>
      </c>
      <c r="F145" s="45">
        <f>SUM(D105:D114)*100/(5*D145)</f>
        <v>80</v>
      </c>
    </row>
    <row r="146" spans="3:6" ht="16" thickBot="1" x14ac:dyDescent="0.4">
      <c r="C146" s="46" t="s">
        <v>206</v>
      </c>
      <c r="D146" s="44">
        <f>COUNTIF(D115:D122,"&lt;&gt;*NS*")</f>
        <v>8</v>
      </c>
      <c r="E146" s="45">
        <f>AVERAGE(D115:D122)</f>
        <v>3.5</v>
      </c>
      <c r="F146" s="45">
        <f>SUM(D115:D122)*100/(5*D146)</f>
        <v>70</v>
      </c>
    </row>
  </sheetData>
  <autoFilter ref="A1:D125" xr:uid="{00000000-0009-0000-0000-000000000000}"/>
  <mergeCells count="13">
    <mergeCell ref="B99:B104"/>
    <mergeCell ref="B105:B114"/>
    <mergeCell ref="B115:B122"/>
    <mergeCell ref="A1:A62"/>
    <mergeCell ref="B2:B16"/>
    <mergeCell ref="B17:B26"/>
    <mergeCell ref="B27:B55"/>
    <mergeCell ref="B56:B62"/>
    <mergeCell ref="A63:A122"/>
    <mergeCell ref="B63:B67"/>
    <mergeCell ref="B68:B78"/>
    <mergeCell ref="B79:B90"/>
    <mergeCell ref="B91:B98"/>
  </mergeCells>
  <pageMargins left="0.19685039370078741" right="3.937007874015748E-2" top="0.74803149606299213" bottom="0.74803149606299213" header="0.31496062992125984" footer="0.31496062992125984"/>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GOLDEN FRIO OSM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Nivyash Marine</dc:creator>
  <cp:lastModifiedBy>Nivyash Marine</cp:lastModifiedBy>
  <dcterms:created xsi:type="dcterms:W3CDTF">2026-03-10T05:12:28Z</dcterms:created>
  <dcterms:modified xsi:type="dcterms:W3CDTF">2026-03-10T05:12:52Z</dcterms:modified>
</cp:coreProperties>
</file>