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r01\common\6.2ndENGINEER\21.Work Done Reports\Weekly Maintenance Reports\2026\WEEK 01\"/>
    </mc:Choice>
  </mc:AlternateContent>
  <xr:revisionPtr revIDLastSave="0" documentId="13_ncr:1_{473E6E82-1C2B-4B43-B916-2BE5B42445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 2026" sheetId="10" r:id="rId1"/>
    <sheet name="Drain oil rec" sheetId="6" r:id="rId2"/>
    <sheet name="Feed rate calc" sheetId="4" r:id="rId3"/>
    <sheet name="Log 2025" sheetId="9" r:id="rId4"/>
    <sheet name="Log 2021" sheetId="2" r:id="rId5"/>
    <sheet name="Log 2022" sheetId="7" r:id="rId6"/>
    <sheet name="Log 2023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6" l="1"/>
  <c r="D15" i="6" s="1"/>
  <c r="C14" i="6"/>
  <c r="F11" i="6"/>
  <c r="K12" i="6" l="1"/>
  <c r="J15" i="6"/>
  <c r="J11" i="6"/>
  <c r="K14" i="6"/>
  <c r="K15" i="6"/>
  <c r="K11" i="6"/>
  <c r="J13" i="6"/>
  <c r="J12" i="6"/>
  <c r="K13" i="6"/>
  <c r="J14" i="6"/>
  <c r="E21" i="4"/>
  <c r="E22" i="4" s="1"/>
  <c r="E23" i="4" s="1"/>
  <c r="C17" i="4"/>
  <c r="D16" i="4"/>
  <c r="D17" i="4" s="1"/>
  <c r="B16" i="4"/>
  <c r="B17" i="4" s="1"/>
  <c r="F3" i="6" l="1"/>
  <c r="F5" i="6"/>
</calcChain>
</file>

<file path=xl/sharedStrings.xml><?xml version="1.0" encoding="utf-8"?>
<sst xmlns="http://schemas.openxmlformats.org/spreadsheetml/2006/main" count="4363" uniqueCount="330">
  <si>
    <t>Oil Type:</t>
  </si>
  <si>
    <t>TBN:</t>
  </si>
  <si>
    <t>Tested TBN:</t>
  </si>
  <si>
    <t xml:space="preserve">Engine running hours: </t>
  </si>
  <si>
    <t>Speed (rpm):</t>
  </si>
  <si>
    <t>Fuel Index:</t>
  </si>
  <si>
    <t>Sulphur content (%):</t>
  </si>
  <si>
    <t>Cylinder</t>
  </si>
  <si>
    <t>ACC (g/kwhxS%):</t>
  </si>
  <si>
    <t>Feed rate (g/kwh):</t>
  </si>
  <si>
    <t>TBN (Residual)</t>
  </si>
  <si>
    <t>Date:</t>
  </si>
  <si>
    <t>Fe ppm</t>
  </si>
  <si>
    <t>VESSELS NAME:</t>
  </si>
  <si>
    <t>BN</t>
  </si>
  <si>
    <t>Cylinder Lube Oil Recommendation</t>
  </si>
  <si>
    <t>Min. feed rate</t>
  </si>
  <si>
    <t>Cylinder oils in the ship</t>
  </si>
  <si>
    <t>g/kWh</t>
  </si>
  <si>
    <t>Low BN oil</t>
  </si>
  <si>
    <t>High BN oil</t>
  </si>
  <si>
    <t>Fill in the white boxes</t>
  </si>
  <si>
    <t>Experienced ACC-factor or Feed Rate Factor (FRF)</t>
  </si>
  <si>
    <t>Oil BN</t>
  </si>
  <si>
    <t>ACC or FRF</t>
  </si>
  <si>
    <t>g/kWh*S%</t>
  </si>
  <si>
    <t>ACC-factor or FRF for different oils</t>
  </si>
  <si>
    <t>oil BN</t>
  </si>
  <si>
    <t>Sulphur-content in the fuel</t>
  </si>
  <si>
    <t>%</t>
  </si>
  <si>
    <t>Fill in the white box</t>
  </si>
  <si>
    <t>Oil to choose (from oils in ship)</t>
  </si>
  <si>
    <t>Feed Rate</t>
  </si>
  <si>
    <t>HMI (for Alpha Lubricators)</t>
  </si>
  <si>
    <t>Cyl.</t>
  </si>
  <si>
    <t>Fe</t>
  </si>
  <si>
    <t>How to protect your engine against wear in combustion chamber</t>
  </si>
  <si>
    <t>Recommendation</t>
  </si>
  <si>
    <t>Run the engine in stabile conditions: same load, same fuel etc. for 24 h. Take drain oil samples from all the cylinders. Fill in the values in the table.</t>
  </si>
  <si>
    <t>Limits</t>
  </si>
  <si>
    <t>Average</t>
  </si>
  <si>
    <t>Fe &gt; 800 ppm</t>
  </si>
  <si>
    <t>This is very high values for wear, act immidiately!</t>
  </si>
  <si>
    <t>Figure 1   Results from drain oil analysis</t>
  </si>
  <si>
    <t>If the results of the drain oil fall in the marked sections:</t>
  </si>
  <si>
    <t>1.   Increase CLO feedrate or change to higher BN oil.</t>
  </si>
  <si>
    <t xml:space="preserve">1.   The engine suffer from cold corrosion. </t>
  </si>
  <si>
    <t>2.   Check fuel centrifuge efficiency and decrease CLO feed rate/change to lower BN oil.</t>
  </si>
  <si>
    <t>2.   Increase fuel temperature and/or decrease flow through centrifuge. The engine suffer from abrasive wear from cat fines in the fuel, and might experience increased deposits from unused addditives in the lube oil.</t>
  </si>
  <si>
    <t xml:space="preserve">3.   Check centrifuge effiency. </t>
  </si>
  <si>
    <t>3.   The engine suffer from abrasive wear from cat fines in the fuel.</t>
  </si>
  <si>
    <t>4.   Decrease CLO federate or change to lower BN oil.</t>
  </si>
  <si>
    <t>4.   The engine might suffer from increased deposits from unused additives in the lube oil.</t>
  </si>
  <si>
    <t xml:space="preserve">5.   Keep the engine parameters. </t>
  </si>
  <si>
    <t xml:space="preserve">5.   The engine wear is low and deposits from the CLO should be low. </t>
  </si>
  <si>
    <t>More information may be found in the Service Letter SL14-587.</t>
  </si>
  <si>
    <t>Complete when Feed Rate changes</t>
  </si>
  <si>
    <t>Engine Power( Shaft) (KW):</t>
  </si>
  <si>
    <t>FRONT CRUISER</t>
  </si>
  <si>
    <t>TARO ULTRA 100</t>
  </si>
  <si>
    <t>WEEK 2</t>
  </si>
  <si>
    <t>WEEK 4</t>
  </si>
  <si>
    <t>27/06/2020</t>
  </si>
  <si>
    <t>WEEK 1</t>
  </si>
  <si>
    <t>WEEK 3</t>
  </si>
  <si>
    <t>WEEK 5</t>
  </si>
  <si>
    <t>20/06/2020</t>
  </si>
  <si>
    <t>26/06/2020</t>
  </si>
  <si>
    <t>WEEK 6</t>
  </si>
  <si>
    <t>WEEK 7</t>
  </si>
  <si>
    <t>WEEK 8</t>
  </si>
  <si>
    <t>WEEK 38</t>
  </si>
  <si>
    <t>WEEK 39</t>
  </si>
  <si>
    <t>WEEK 40</t>
  </si>
  <si>
    <t>WEEK 41</t>
  </si>
  <si>
    <t>WEEK 42</t>
  </si>
  <si>
    <t>WEEK 43</t>
  </si>
  <si>
    <t>WEEK 44</t>
  </si>
  <si>
    <t>WEEK 46</t>
  </si>
  <si>
    <t>WEEK 48</t>
  </si>
  <si>
    <t>WEEK 49</t>
  </si>
  <si>
    <t>WEEK 50</t>
  </si>
  <si>
    <t>WEEK 9</t>
  </si>
  <si>
    <t>WEEK 10</t>
  </si>
  <si>
    <t xml:space="preserve">WEEK 11 - Scavenge , Underpiston area cleaned and inspected.
Vessel at Dalian Anchorage. </t>
  </si>
  <si>
    <t xml:space="preserve">WEEK 12 - Scavenge , Underpiston area cleaned and inspected.
Vessel at Dalian Anchorage. </t>
  </si>
  <si>
    <t xml:space="preserve">WEEK 13 
Vessel at Dalian Anchorage. </t>
  </si>
  <si>
    <t xml:space="preserve">WEEK 14
Vessel at Dalian Anchorage. </t>
  </si>
  <si>
    <t xml:space="preserve">WEEK 15
 </t>
  </si>
  <si>
    <t xml:space="preserve">WEEK 16
 </t>
  </si>
  <si>
    <t xml:space="preserve">WEEK 17
 </t>
  </si>
  <si>
    <t xml:space="preserve">WEEK 18
 </t>
  </si>
  <si>
    <t xml:space="preserve">WEEK 19
 </t>
  </si>
  <si>
    <t xml:space="preserve">WEEK 20
 </t>
  </si>
  <si>
    <t xml:space="preserve">WEEK 21 Scavenge , Underpiston area cleaned and inspected.
Vessel drifting 
 </t>
  </si>
  <si>
    <t>WEEK 22
 ACC changed to 0.28 on 02.06.21 . Current feed rate 0.92g/kwh</t>
  </si>
  <si>
    <t>WEEK 23
 Vessel at port Loading cargo</t>
  </si>
  <si>
    <t xml:space="preserve">WEEK 24
                                        </t>
  </si>
  <si>
    <t xml:space="preserve">WEEK 24                                                                                                                     
</t>
  </si>
  <si>
    <t xml:space="preserve">WEEK 25                                                                                                                     
</t>
  </si>
  <si>
    <t>WEEK 26                                                                                                                   
 Scavenge , Underpiston area cleaned and inspected.
Vessel at anchorage</t>
  </si>
  <si>
    <t>WEEK 27                                                                                                                   
 Vessel at San Vicente, Chile . Discharging cargo.</t>
  </si>
  <si>
    <t>TARO ULTRA 40</t>
  </si>
  <si>
    <t xml:space="preserve">WEEK 28   
VESSEL USING VLSFO                                                                                                             
</t>
  </si>
  <si>
    <t xml:space="preserve">WEEK 29  
</t>
  </si>
  <si>
    <t xml:space="preserve">WEEK 30
</t>
  </si>
  <si>
    <t xml:space="preserve">WEEK 31
</t>
  </si>
  <si>
    <t xml:space="preserve">WEEK 32                                                                                                         Scavenge , Underpiston area cleaned and inspected.
Vessel at anchorage
</t>
  </si>
  <si>
    <t xml:space="preserve">WEEK 33                                                                                                        
Vessel using BN 100 &amp; BN 40 in the ratio of 50: 50
</t>
  </si>
  <si>
    <t xml:space="preserve">WEEK 35                                                                                                    
Vessel using BN 100 &amp; BN 40 in the ratio of 50: 50
</t>
  </si>
  <si>
    <t xml:space="preserve">WEEK 36                                                                                                                                                             
Vessel loading at Santos , Brazil.
</t>
  </si>
  <si>
    <t xml:space="preserve">WEEK 37                                                                                                                                                            
Vessel using BN 100 &amp; BN 40 in the ratio of 50: 50
</t>
  </si>
  <si>
    <t xml:space="preserve">WEEK 38        Vessel drifting @ Talcahuano Chile                                                                                                                                                   
Vessel using BN 100 &amp; BN 40 in the ratio of 50: 50
</t>
  </si>
  <si>
    <t xml:space="preserve">WEEK 39        Vessel @ Talcahuano Anchorage, Chile                                                                                                                                                   
Vessel using BN 100 &amp; BN 40 in the ratio of 50:50                                                                                                          
</t>
  </si>
  <si>
    <t xml:space="preserve">WEEK 40        Vessel @ Talcahuano Anchorage, Chile                                                                                                                                                   
Vessel using BN 100 &amp; BN 40 in the ratio of 50:50                                                                                                          
</t>
  </si>
  <si>
    <t xml:space="preserve">WEEK 41       Vessel @ Talcahuano Anchorage, Chile                                                                                                                                                   
Vessel using BN 100 &amp; BN 40 in the ratio of 50:50                                                                                                          
</t>
  </si>
  <si>
    <t xml:space="preserve">WEEK 42                                                                                                                                                         
Vessel using BN 100 &amp; BN 40 in the ratio of 50: 50
</t>
  </si>
  <si>
    <t xml:space="preserve">WEEK 43                                                                                                                                                         
Vessel using BN 100 &amp; BN 40 in the ratio of 50: 50
</t>
  </si>
  <si>
    <t xml:space="preserve">WEEK 44   Vessel @ porto do acu Anchorage, Brazil                                                                                                                                                  
Vessel using BN 100 &amp; BN 40 in the ratio of 50:50                                                                                                          
</t>
  </si>
  <si>
    <t xml:space="preserve">WEEK 45      Vessel loading @ porto do ACU, Brazil                                                                                                                                             
Vessel using BN 100 &amp; BN 40 in the ratio of 50:50                                                                                                          
</t>
  </si>
  <si>
    <t xml:space="preserve">WEEK 46                                                                                                                                                       
Vessel using BN 100 &amp; BN 40 in the ratio of 50: 50
</t>
  </si>
  <si>
    <t xml:space="preserve">WEEK 47        
Vsl using BN 100 oil from 26th Nov after change over of FO to HSFO                                                                                                      
</t>
  </si>
  <si>
    <t xml:space="preserve">WEEK 49   Vessel @ Rotterdam
Scavenge &amp; Under Piston Area Cleaned.
Vsl at Berth, Discharging in Progress. Scape Down Analysis not carried out this week
</t>
  </si>
  <si>
    <t xml:space="preserve">WEEK 48   Vessel @ Rotterdam Anchorage                                                                                                                                                  
Vsl using BN 100 oil from 26th Nov after change over of FO to HSFO                                                                                                      
</t>
  </si>
  <si>
    <t xml:space="preserve">WEEK 50  Vessel @ Sea - Drifting
Scape Down Analysis not carried out this week, as vsl is drifting
Vsl using Mixture of BN 100 &amp; 140 after Bunkering new Cyl Oil at Rotterdam on 11 Dec 2021
</t>
  </si>
  <si>
    <t xml:space="preserve">WEEK 52  Vessel 
Vsl using Mixture of BN 100 &amp; 140 after Bunkering new Cyl Oil at Rotterdam on 11 Dec 2021
</t>
  </si>
  <si>
    <t xml:space="preserve">WEEK 51  Vessel 
Vsl using Mixture of BN 100 &amp; 140 after Bunkering new Cyl Oil at Rotterdam on 11 Dec 2021
</t>
  </si>
  <si>
    <t xml:space="preserve">WEEK 01  Vessel 
Vsl using Mixture of BN 100 &amp; 140 after Bunkering new Cyl Oil at Rotterdam on 11 Dec 2021
</t>
  </si>
  <si>
    <t xml:space="preserve">WEEK 03  Vessel 
Vsl using Mixture of BN 100 &amp; 140 after Bunkering new Cyl Oil at Rotterdam on 11 Dec 2021
</t>
  </si>
  <si>
    <t xml:space="preserve">WEEK 02  Vessel 
Vsl using Mixture of BN 100 &amp; 140 after Bunkering new Cyl Oil at Rotterdam on 11 Dec 2021
</t>
  </si>
  <si>
    <t xml:space="preserve">WEEK 04  Vessel 
Vsl using Mixture of BN 100 &amp; 140 after Bunkering new Cyl Oil at Rotterdam on 11 Dec 2021
</t>
  </si>
  <si>
    <t xml:space="preserve">WEEK 05  Vessel 
Vsl using Mixture of BN 100 &amp; 140 after Bunkering new Cyl Oil at Rotterdam on 11 Dec 2021
</t>
  </si>
  <si>
    <t xml:space="preserve">WEEK10  Vessel 
Vsl using Mixture of BN 100 &amp; 140 after Bunkering new Cyl Oil at Rotterdam on 11 Dec 2021
</t>
  </si>
  <si>
    <t xml:space="preserve">WEEK 08  Vessel 
Vsl using Mixture of BN 100 &amp; 140 after Bunkering new Cyl Oil at Rotterdam on 11 Dec 2021
</t>
  </si>
  <si>
    <t xml:space="preserve">WEEK 07  Vessel 
Vsl using Mixture of BN 100 &amp; 140 after Bunkering new Cyl Oil at Rotterdam on 11 Dec 2021
</t>
  </si>
  <si>
    <t xml:space="preserve">WEEK 06 Vessel 
Vsl using Mixture of BN 100 &amp; 140 after Bunkering new Cyl Oil at Rotterdam on 11 Dec 2021
</t>
  </si>
  <si>
    <t xml:space="preserve">WEEK11  Vessel 
Vsl using Mixture of BN 100 &amp; 140 after Bunkering new Cyl Oil at Rotterdam on 11 Dec 2021
</t>
  </si>
  <si>
    <t xml:space="preserve">WEEK 12  Vessel 
Vsl using Mixture of BN 100 &amp; 140 after Bunkering new Cyl Oil at Rotterdam on 11 Dec 2021
</t>
  </si>
  <si>
    <t xml:space="preserve">WEEK 13  Vessel 
Vsl using Mixture of BN 100 &amp; 140 after Bunkering new Cyl Oil at Rotterdam on 11 Dec 2021
</t>
  </si>
  <si>
    <t xml:space="preserve">WEEK 14  Vessel 
Vsl using Mixture of BN 100 &amp; 140 after Bunkering new Cyl Oil at Rotterdam on 11 Dec 2021
</t>
  </si>
  <si>
    <t xml:space="preserve">WEEK 15  Vessel 
Vsl using Mixture of BN 100 &amp; 140 after Bunkering new Cyl Oil at Rotterdam on 11 Dec 2021
</t>
  </si>
  <si>
    <t xml:space="preserve">WEEK 16  Vessel 
Vsl using Mixture of BN 100 &amp; 140 after Bunkering new Cyl Oil at Rotterdam on 11 Dec 2021
</t>
  </si>
  <si>
    <t xml:space="preserve">WEEK 18  Vessel 
Vsl using Mixture of BN 100 &amp; 140 after Bunkering new Cyl Oil at Rotterdam on 11 Dec 2021
</t>
  </si>
  <si>
    <t xml:space="preserve">WEEK 19  Vessel 
Vsl using Mixture of BN 100 &amp; 140 after Bunkering new Cyl Oil at Rotterdam on 11 Dec 2021
</t>
  </si>
  <si>
    <t xml:space="preserve">WEEK 20  Vessel 
Vsl using Mixture of BN 100 &amp; 140 after Bunkering new Cyl Oil at Rotterdam on 11 Dec 2021
</t>
  </si>
  <si>
    <t xml:space="preserve">WEEK 21  Vessel 
Vsl using Mixture of BN 100 &amp; 140 after Bunkering new Cyl Oil at Rotterdam on 11 Dec 2021
</t>
  </si>
  <si>
    <t xml:space="preserve">WEEK 27  Vessel @ Sea - Drifting
Scape Down Analysis not carried out this week, as vsl is drifting
Vsl using Mixture of BN 100 &amp; 140 after Bunkering new Cyl Oil at Rotterdam on 11 Dec 2021
</t>
  </si>
  <si>
    <t xml:space="preserve">WEEK 26 Vessel @ Sea 
Vsl using Mixture of BN 100 &amp; 140 after Bunkering new Cyl Oil at Rotterdam on 11 Dec 2021
</t>
  </si>
  <si>
    <t xml:space="preserve">WEEK 25 Vessel @ Sea 
Vsl using Mixture of BN 100 &amp; 140 after Bunkering new Cyl Oil at Rotterdam on 11 Dec 2021
</t>
  </si>
  <si>
    <t xml:space="preserve">WEEK 24 Vessel @ Sea 
Vsl using Mixture of BN 100 &amp; 140 after Bunkering new Cyl Oil at Rotterdam on 11 Dec 2021
</t>
  </si>
  <si>
    <t xml:space="preserve">WEEK 23 Vessel @ Sea 
Vsl using Mixture of BN 100 &amp; 140 after Bunkering new Cyl Oil at Rotterdam on 11 Dec 2021
</t>
  </si>
  <si>
    <t xml:space="preserve">WEEK 22 Vessel @ Sea 
Vsl using Mixture of BN 100 &amp; 140 after Bunkering new Cyl Oil at Rotterdam on 11 Dec 2021
</t>
  </si>
  <si>
    <t xml:space="preserve">WEEK 28  Vessel @ Sea - Drifting
Scape Down Analysis not carried out this week, as vsl is drifting
Vsl using Mixture of BN 100 &amp; 140 after Bunkering new Cyl Oil at Rotterdam on 11 Dec 2021
</t>
  </si>
  <si>
    <t xml:space="preserve">WEEK 32  Vessel @ Port(Discharing operation)
Scape Down Analysis not carried out this week, 
Vsl using Mixture of BN 100 &amp; 140 after Bunkering new Cyl Oil at Rotterdam on 11 Dec 2021
</t>
  </si>
  <si>
    <t xml:space="preserve">WEEK 31  Vessel @ Anchor
Scape Down Analysis not carried out this week,
Vsl using Mixture of BN 100 &amp; 140 after Bunkering new Cyl Oil at Rotterdam on 11 Dec 2021
</t>
  </si>
  <si>
    <t xml:space="preserve">WEEK 30  Vessel @ Anchor
Scape Down Analysis not carried out this week, 
Vsl using Mixture of BN 100 &amp; 140 after Bunkering new Cyl Oil at Rotterdam on 11 Dec 2021
</t>
  </si>
  <si>
    <t xml:space="preserve">WEEK 29  Vessel @ Anchor
Scape Down Analysis not carried out this week, 
Vsl using Mixture of BN 100 &amp; 140 after Bunkering new Cyl Oil at Rotterdam on 11 Dec 2021
</t>
  </si>
  <si>
    <t xml:space="preserve">WEEK 33 Vessel @ sea
Vsl using Mixture of MOBILGARD5100, BN 100 &amp; 140 after Bunkering new Cyl Oil at Talcahuano on 21 Jul 2022
</t>
  </si>
  <si>
    <t xml:space="preserve">WEEK 34 Vessel @ sea
Vsl using Mixture of MOBILGARD5100, BN 100 &amp; 140 after Bunkering new Cyl Oil at Talcahuano on 21 Jul 2022
</t>
  </si>
  <si>
    <t xml:space="preserve">WEEK 36 Vessel @ sea
Vsl using Mixture of MOBILGARD5100, BN 100 &amp; 140 after Bunkering new Cyl Oil at Talcahuano on 21 Jul 2022
</t>
  </si>
  <si>
    <t xml:space="preserve">WEEK 35 Vessel @ sea
Vsl using Mixture of MOBILGARD5100, BN 100 &amp; 140 after Bunkering new Cyl Oil at Talcahuano on 21 Jul 2022
</t>
  </si>
  <si>
    <t xml:space="preserve">WEEK 37 Vessel @ sea
Vsl using Mixture of MOBILGARD5100, BN 100 &amp; 140 after Bunkering new Cyl Oil at Talcahuano on 21 Jul 2022
</t>
  </si>
  <si>
    <t xml:space="preserve">WEEK 38 Vessel in Port
Vsl using Mixture of MOBILGARD5100, BN 100 &amp; 140 after Bunkering new Cyl Oil at Talcahuano on 21 Jul 2022
</t>
  </si>
  <si>
    <t xml:space="preserve">WEEK 39 Vessel @  drifting
Vsl using Mixture of MOBILGARD5100, BN 100 &amp; 140 after Bunkering new Cyl Oil at Talcahuano on 21 Jul 2022
</t>
  </si>
  <si>
    <t xml:space="preserve">WEEK 40 Vessel @  sea
Vsl using Mixture of MOBILGARD5100, BN 140 after Bunkering new Cyl Oil at Algeciras 29 Sep 2022
</t>
  </si>
  <si>
    <t xml:space="preserve">WEEK 41 Vessel @  sea
Vsl using Mixture of MOBILGARD5100, BN 140 after Bunkering new Cyl Oil at Algeciras 29 Sep 2022
</t>
  </si>
  <si>
    <t xml:space="preserve">WEEK 42 Vessel @  sea
Vsl using Mixture of MOBILGARD5100, BN 140 after Bunkering new Cyl Oil at Algeciras 29 Sep 2022
</t>
  </si>
  <si>
    <t xml:space="preserve">WEEK 43 Vessel @  port 
Vsl using Mixture of MOBILGARD5100, BN 140 after Bunkering new Cyl Oil at Algeciras 29 Sep 2022
</t>
  </si>
  <si>
    <t xml:space="preserve">WEEK 44 Vessel @  sea
Vsl using Mixture of MOBILGARD5100, BN 140 after Bunkering new Cyl Oil at Algeciras 29 Sep 2022
</t>
  </si>
  <si>
    <t xml:space="preserve">WEEK 45 Vessel @  sea
Vsl using Mixture of MOBILGARD5100, BN 140 after Bunkering new Cyl Oil at Algeciras 29 Sep 2022
</t>
  </si>
  <si>
    <t xml:space="preserve">WEEK 46 Vessel @  sea
Vsl using Mixture of MOBILGARD5100, BN 140 after Bunkering new Cyl Oil at Algeciras 29 Sep 2022
</t>
  </si>
  <si>
    <t xml:space="preserve">WEEK 47 Vessel @  sea
Vsl using Mixture of MOBILGARD5100, BN 140 after Bunkering new Cyl Oil at Algeciras 29 Sep 2022
</t>
  </si>
  <si>
    <t xml:space="preserve">WEEK 48 Vessel @  sea
Vsl using Mixture of MOBILGARD5100, BN 140 after Bunkering new Cyl Oil at Algeciras 29 Sep 2022
</t>
  </si>
  <si>
    <t xml:space="preserve">WEEK 49 Vessel In Port
Vsl using Mixture of MOBILGARD5100, BN 140 after Bunkering new Cyl Oil at Algeciras 29 Sep 2022
</t>
  </si>
  <si>
    <t xml:space="preserve">WEEK 50 Vessel AT Anchor              
Scape Down Analysis not carried out this week,                                                   Vsl using Mixture of MOBILGARD5100, BN 140 after Bunkering new Cyl Oil at Algeciras 29 Sep 2022
</t>
  </si>
  <si>
    <t xml:space="preserve">WEEK 51 Vessel In Port             
Scape Down Analysis not carried out this week,                                                   Vsl using Mixture of MOBILGARD5100, BN 140 after Bunkering new Cyl Oil at Algeciras 29 Sep 2022
</t>
  </si>
  <si>
    <t xml:space="preserve">WEEK 52 Vessel at Sea                                                                                                       Vsl using Mixture of MOBILGARD5100, BN 140 after Bunkering new Cyl Oil at Algeciras 29 Sep 2022
</t>
  </si>
  <si>
    <t xml:space="preserve">WEEK 01 Vessel at Sea                                                                                                       
</t>
  </si>
  <si>
    <t xml:space="preserve">WEEK 02 Vessel at Sea                                                                                                       
</t>
  </si>
  <si>
    <t xml:space="preserve">WEEK 03 Vessel at Sea                                                                                                       
</t>
  </si>
  <si>
    <t xml:space="preserve">WEEK 04 Vessel at Sea                                                                                                       
</t>
  </si>
  <si>
    <t xml:space="preserve">WEEK 05 Vessel at Sea                                                                                                       
</t>
  </si>
  <si>
    <t xml:space="preserve">WEEK 06 Vessel at Sea                                                                                                       
</t>
  </si>
  <si>
    <t xml:space="preserve">WEEK 07 Vessel at Sea                                                                                                       
</t>
  </si>
  <si>
    <t xml:space="preserve">WEEK 09 Vessel at Sea                                                                                                   
</t>
  </si>
  <si>
    <t xml:space="preserve">WEEK 08 Vessel in port                                                                                                     
</t>
  </si>
  <si>
    <t xml:space="preserve">WEEK 10 Vessel at Sea                                                                                                   
</t>
  </si>
  <si>
    <t xml:space="preserve">WEEK 11 Vessel at Sea                                                                                                   
</t>
  </si>
  <si>
    <t xml:space="preserve">WEEK 12 Vessel at Sea                                                                                                   
</t>
  </si>
  <si>
    <t xml:space="preserve">WEEK 13 Vessel at Sea                                                                                                   
</t>
  </si>
  <si>
    <t xml:space="preserve">WEEK 14 Vessel in Port.                                                                                       Scrapedown oil analysis could not be done as vessel was in port.                                                                                                 
</t>
  </si>
  <si>
    <t xml:space="preserve">WEEK 15 Vessel in Port.                                                                                       Scrapedown oil analysis could not be done as vessel was in port.                                                                                                 
</t>
  </si>
  <si>
    <t xml:space="preserve">WEEK 16 Vessel at Sea.                                                                                                                                                                                     
</t>
  </si>
  <si>
    <t xml:space="preserve">WEEK 17 Vessel at Sea.                                                                                                                                                                                     
Scrapedown oil analysis could not be done as vessel was in port.                                                
</t>
  </si>
  <si>
    <t xml:space="preserve">WEEK 18 Vessel at Sea.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</si>
  <si>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19 Vessel at Sea.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</si>
  <si>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20 Vessel at Sea.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</si>
  <si>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21 Vessel at Sea.                                                                                                                                                                                     
Scrapedown oil analysis could not be done as vessel is drifting.                                                
</t>
  </si>
  <si>
    <t xml:space="preserve">WEEK 22 Vessel at Sea.                                                                                                                                                                                     
</t>
  </si>
  <si>
    <t xml:space="preserve">WEEK 23 Vessel at Sea.                                                                                                                                                                                     
</t>
  </si>
  <si>
    <t xml:space="preserve">WEEK 24 Vessel at Sea.                                                                                                                                                                                     
</t>
  </si>
  <si>
    <t xml:space="preserve">WEEK 25 Vessel at Sea.                                                                                                                                                                                     
</t>
  </si>
  <si>
    <t>TARO ULTRA 140</t>
  </si>
  <si>
    <t xml:space="preserve">WEEK 26 Vessel at Sea.                                                                                                                                                                                     
</t>
  </si>
  <si>
    <t xml:space="preserve">WEEK 29 Vessel at Sea                                                                                                                                                                                    
</t>
  </si>
  <si>
    <t xml:space="preserve">WEEK 30  Vessel at Sea                                                                                                                                                                                    
</t>
  </si>
  <si>
    <t xml:space="preserve">WEEK 31  Vessel at Sea                                                                                                                                                                                    
</t>
  </si>
  <si>
    <t xml:space="preserve">WEEK 32  Vessel at Sea                                                                                                                                                                                    
</t>
  </si>
  <si>
    <t xml:space="preserve">WEEK 33  Vessel at Sea                                                                                                                                                                                    
</t>
  </si>
  <si>
    <t xml:space="preserve">WEEK 34  Vessel at Sea                                                                                                                                                                                    
</t>
  </si>
  <si>
    <t xml:space="preserve">WEEK 35  Vessel at Sea                                                                                                                                                                                    
</t>
  </si>
  <si>
    <t xml:space="preserve">WEEK 36  Vessel at Sea                                                                                                                                                                                    
</t>
  </si>
  <si>
    <t xml:space="preserve">WEEK 37  Vessel at Sea ,                                                                                                         Feed rate reduced to 0.85 gm/KW hr on 11 Sept 2023.                                                                                                                                                                                   
</t>
  </si>
  <si>
    <t xml:space="preserve">WEEK 38  Vessel at Sea ,                                                                                                         Feed rate reduced to 0.83 gm/KW hr on 18 Sept 2023.                                                                                                                                                                                   
</t>
  </si>
  <si>
    <t xml:space="preserve">WEEK 39  Vessel at Sea ,                                                                                                         Feed rate increaded to 0.85 gm/KW hr on 28 Sept 2023.                                                                                                                                                                                   
</t>
  </si>
  <si>
    <t xml:space="preserve">WEEK 40  Vessel at Sea ,                                                                                                         Feed rate Decreased to 0.83 gm/KW hr on 04 Oct 2023.                                                                                                                                                                                   
</t>
  </si>
  <si>
    <t xml:space="preserve">WEEK 41  Vessel at Sea ,                                                                                                         Feed rate maintained at 0.83 gm/KW hr                                                                                                                                                                                  
</t>
  </si>
  <si>
    <t xml:space="preserve">WEEK 42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</si>
  <si>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43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</si>
  <si>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44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</si>
  <si>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45 Vessel at Anchorage /GOLA.                                                                                                                                                                                     
Scrapedown oil analysis could not be done as vessel is in continuos STS OPERATION/ANCHORAGE.                                                
</t>
  </si>
  <si>
    <t xml:space="preserve">WEEK 46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</si>
  <si>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47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</si>
  <si>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48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</si>
  <si>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49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</si>
  <si>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50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</si>
  <si>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51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</si>
  <si>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53  Vessel at Fujarah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</si>
  <si>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1  Vessel at Fujarah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</si>
  <si>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2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</si>
  <si>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3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</si>
  <si>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4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</si>
  <si>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5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</si>
  <si>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6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</si>
  <si>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7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</si>
  <si>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8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</si>
  <si>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>-</t>
  </si>
  <si>
    <t xml:space="preserve">WEEK 9  Vessel at Mumbai Anchorage ,                                                                                                       Scrapedown oil analysis could not be done as vessel is in continuos ANCHORAGE.                                                                                                                                                                                 
</t>
  </si>
  <si>
    <t xml:space="preserve">WEEK 10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</si>
  <si>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11  Vessel at Drifting ,                                                                                                       Scrapedown oil analysis could not be done as vessel is in continuos DRIFTING.                                                                                                                                                                                 
</t>
  </si>
  <si>
    <t xml:space="preserve">WEEK 12  Vessel at Drifting ,                                                                                                       Scrapedown oil analysis could not be done as vessel is in continuos DRIFTING.                                                                                                                                                                                 
</t>
  </si>
  <si>
    <t xml:space="preserve">WEEK 13  Vessel at Sea , Running in period for #2 and #3 units(feed rate increased accordingly)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</si>
  <si>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14  Vessel at Sea , Running in period for #2 and #3 units(feed rate increased accordingly)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</si>
  <si>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15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</si>
  <si>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16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</si>
  <si>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17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</si>
  <si>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18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</si>
  <si>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19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</si>
  <si>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20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</si>
  <si>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21  Vessel Drifting ,                                                                                                       Scrapedown oil analysis could not be done as vessel is in continuos DRIFTING.                                                                                                                                                                                 
</t>
  </si>
  <si>
    <t xml:space="preserve">WEEK 22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</si>
  <si>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23  Vessel at Sea ,                                                                                                         Feed rate maintained at 0.85 gm/KW hr                                                                                                                                                                                  
</t>
  </si>
  <si>
    <t xml:space="preserve">WEEK 24  Vessel in port ,                                                                                                       Min.  Feed rate maintained at 0.85 gm/KW hr                                                                                                                                                                                  
</t>
  </si>
  <si>
    <t xml:space="preserve">WEEK 25  Vessel at continuous drifting ,                                                                                                        Min  Feed rate maintained at 0.85 gm/KW hr     Act.feed rate 0.96gm/kwh                                                                                                                                                                             
</t>
  </si>
  <si>
    <t>Min Feed rate (g/kwh):</t>
  </si>
  <si>
    <t xml:space="preserve">WEEK 26  Vessel at Sea ,                                                                                                        Sp.Feed rate maintained at 0.96 gm/KW hr                                                                                                                                                                                  
</t>
  </si>
  <si>
    <t xml:space="preserve">WEEK 27  Vessel at Sea ,                                                                                                        Sp.Feed rate maintained at 0.96 gm/KW hr                                                                                                                                                                                  
</t>
  </si>
  <si>
    <t xml:space="preserve">WEEK 28  Vessel at Sea ,                                                                                                        Sp.Feed rate maintained at 0.96 gm/KW hr                                                                                                                                                                                  
</t>
  </si>
  <si>
    <t xml:space="preserve">WEEK 29  Vessel at Sea ,                                                                                                        Sp.Feed rate maintained at 0.96 gm/KW hr                                                                                                                                                                                  
</t>
  </si>
  <si>
    <t xml:space="preserve">WEEK 30  Vessel at Sea ,                                                                                                        Sp.Feed rate maintained at 0.96 gm/KW hr                                                                                                                                                                                  
</t>
  </si>
  <si>
    <t xml:space="preserve">WEEK 31  Vessel continiously at anchorage off Chennai port.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</si>
  <si>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32  Vessel in Chennai port.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</si>
  <si>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33  Vessel at Sea ,                                                                                                        Sp.Feed rate maintained at 0.96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</si>
  <si>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r>
      <rPr>
        <b/>
        <sz val="11"/>
        <color rgb="FFFF0000"/>
        <rFont val="Calibri"/>
        <family val="2"/>
        <scheme val="minor"/>
      </rPr>
      <t xml:space="preserve">    Test results from Shore Laboratory    </t>
    </r>
    <r>
      <rPr>
        <sz val="11"/>
        <color rgb="FFFF0000"/>
        <rFont val="Calibri"/>
        <family val="2"/>
        <scheme val="minor"/>
      </rPr>
      <t xml:space="preserve">                                                                                                                            Sp.Feed rate maintained at 0.96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</si>
  <si>
    <t xml:space="preserve">WEEK 37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</si>
  <si>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38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</si>
  <si>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39  Vessel in port.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</si>
  <si>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40  Vessel drifting.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</si>
  <si>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41  Vessel drifting and at Port stay.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</si>
  <si>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42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Slow steaming to maintain ETA                                              
</t>
  </si>
  <si>
    <t xml:space="preserve">WEEK 43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Slow steaming to maintain ETA                                              
</t>
  </si>
  <si>
    <t xml:space="preserve">WEEK 44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Slow steaming to maintain ETA                                              
</t>
  </si>
  <si>
    <t xml:space="preserve">WEEK 48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Slow steaming to maintain ETA                                              
</t>
  </si>
  <si>
    <t xml:space="preserve">WEEK 49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Slow steaming to maintain ETA                                              
</t>
  </si>
  <si>
    <t xml:space="preserve">WEEK 52 Vessel drifting.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</si>
  <si>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51 Vessel in port.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</si>
  <si>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01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Slow steaming at 39rpm  to maintain ETA                                              
</t>
  </si>
  <si>
    <t xml:space="preserve">WEEK 02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Slow steaming at 39rpm  to maintain ETA                                              
</t>
  </si>
  <si>
    <t xml:space="preserve">WEEK 03 2025 Vessel in port.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</si>
  <si>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05 2025 Vessel at anchorage.                      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</si>
  <si>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4 2025  Vessel at Sea ,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</si>
  <si>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50  Vessel at Sea.                                                                                                                                                                                                                                                                                                                                                                                     
Slow steaming to maintain ETA                                              
</t>
  </si>
  <si>
    <t xml:space="preserve">WEEK 47  Vessel at Sea.                                                                                                                                                                                                                                                                                                                                                                                     
Slow steaming to maintain ETA                                              
</t>
  </si>
  <si>
    <t xml:space="preserve">WEEK 46  Vessel at Sea.                                                                                                                                                                                                                                                                                                                                                                                      
Slow steaming to maintain ETA                                              
</t>
  </si>
  <si>
    <t xml:space="preserve">WEEK 45  Vessel at Sea.                                                                                                                                                                                                                                                                                                                                                                                            
Slow steaming to maintain ETA                                              
</t>
  </si>
  <si>
    <t xml:space="preserve">WEEK 35  Vessel at Sea.                                                                                                       Sp.Feed rate maintained at 0.90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</si>
  <si>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36  Vessel at Sea.                                                                                                       Sp.Feed rate maintained at 0.90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</si>
  <si>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06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Slow steaming at 45rpm  to maintain ETA                                              
</t>
  </si>
  <si>
    <t xml:space="preserve">WEEK 07 2025 Vessel at anchorage.                      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</si>
  <si>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08 2025 Vessel at Sea.                                                                                                                                                                                                                                                                                                                                                                                      
Slow steaming to maintain ETA                                              
</t>
  </si>
  <si>
    <t xml:space="preserve">WEEK 09 2025 Vessel at Sea.                                                                                                                                                                                                                                                                                                                                                                                      
Slow steaming to maintain ETA                                              
</t>
  </si>
  <si>
    <t xml:space="preserve">WEEK 10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</si>
  <si>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11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</si>
  <si>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13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</si>
  <si>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14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</si>
  <si>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15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</si>
  <si>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16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</si>
  <si>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17 2025  Vessel at berth.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</si>
  <si>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19 2025  vessel at dock.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</si>
  <si>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23 2025  vessel at anchorage.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</si>
  <si>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24 2025  vessel at anchorage.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</si>
  <si>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25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</si>
  <si>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26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</si>
  <si>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27 2025  Vessel in anchorage.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</si>
  <si>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28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</si>
  <si>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29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</si>
  <si>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30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</si>
  <si>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31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</si>
  <si>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32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</si>
  <si>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33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</si>
  <si>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34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</si>
  <si>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35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</si>
  <si>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36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</si>
  <si>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37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</si>
  <si>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38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</si>
  <si>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39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</si>
  <si>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40 2025  Vessel at Anchorage.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</si>
  <si>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41 2025  Vessel at Anchorage.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</si>
  <si>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42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</si>
  <si>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43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</si>
  <si>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44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</si>
  <si>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45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</si>
  <si>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46 2025  Vessel at FPSO.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</si>
  <si>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47 2025  Vessel at SEA.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</si>
  <si>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48 2025  Vessel Drifting @ Canada.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</si>
  <si>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49 2025  Vessel @ Port, POINT TUPPER, CANADA.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</si>
  <si>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50 2025  Vessel @ Sea                                                                                                        Sp.Feed rate maintained at 0.92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</si>
  <si>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51 2025  Vessel @ Sea                                                                                                        Sp.Feed rate maintained at 0.99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</si>
  <si>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51 2025  Vessel @ FPSO loading                                                                                                       Sp.Feed rate maintained at 1.00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</si>
  <si>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WEEK 01 2026  Vessel @ Sea                                                                                                     Sp.Feed rate maintained at 1.00 gm/KW 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</si>
</sst>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#,##0.0"/>
  </numFmts>
  <fonts count="24" x14ac:knownFonts="1">
    <font>
      <sz val="11"/>
      <color theme="1"/>
      <name val="Calibri"/>
      <family val="2"/>
      <scheme val="minor"/>
    </font>
    <font>
      <b/>
      <i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2"/>
      <name val="Arial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610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0" fillId="0" borderId="0"/>
    <xf numFmtId="0" fontId="12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3" fillId="0" borderId="0"/>
  </cellStyleXfs>
  <cellXfs count="239">
    <xf numFmtId="0" fontId="0" fillId="0" borderId="0" xfId="0"/>
    <xf numFmtId="0" fontId="7" fillId="0" borderId="1" xfId="0" applyFont="1" applyBorder="1" applyAlignment="1">
      <alignment horizontal="center"/>
    </xf>
    <xf numFmtId="0" fontId="4" fillId="0" borderId="5" xfId="0" applyFont="1" applyBorder="1"/>
    <xf numFmtId="0" fontId="1" fillId="0" borderId="7" xfId="0" applyFont="1" applyBorder="1" applyAlignment="1">
      <alignment horizontal="center"/>
    </xf>
    <xf numFmtId="0" fontId="4" fillId="0" borderId="9" xfId="0" applyFont="1" applyBorder="1"/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6" fillId="0" borderId="9" xfId="0" applyFont="1" applyBorder="1"/>
    <xf numFmtId="0" fontId="6" fillId="0" borderId="13" xfId="0" applyFont="1" applyBorder="1"/>
    <xf numFmtId="0" fontId="1" fillId="0" borderId="0" xfId="0" applyFont="1" applyAlignment="1">
      <alignment horizontal="left"/>
    </xf>
    <xf numFmtId="3" fontId="5" fillId="2" borderId="1" xfId="0" applyNumberFormat="1" applyFont="1" applyFill="1" applyBorder="1" applyAlignment="1" applyProtection="1">
      <alignment horizontal="center"/>
      <protection locked="0"/>
    </xf>
    <xf numFmtId="0" fontId="5" fillId="2" borderId="6" xfId="0" applyFont="1" applyFill="1" applyBorder="1" applyAlignment="1" applyProtection="1">
      <alignment horizontal="center"/>
      <protection locked="0"/>
    </xf>
    <xf numFmtId="2" fontId="5" fillId="2" borderId="1" xfId="0" applyNumberFormat="1" applyFont="1" applyFill="1" applyBorder="1" applyAlignment="1" applyProtection="1">
      <alignment horizontal="center"/>
      <protection locked="0"/>
    </xf>
    <xf numFmtId="0" fontId="5" fillId="2" borderId="8" xfId="0" applyFont="1" applyFill="1" applyBorder="1" applyAlignment="1" applyProtection="1">
      <alignment horizontal="center"/>
      <protection locked="0"/>
    </xf>
    <xf numFmtId="1" fontId="5" fillId="2" borderId="14" xfId="0" applyNumberFormat="1" applyFont="1" applyFill="1" applyBorder="1" applyAlignment="1" applyProtection="1">
      <alignment horizontal="center"/>
      <protection locked="0"/>
    </xf>
    <xf numFmtId="0" fontId="2" fillId="0" borderId="0" xfId="0" applyFont="1"/>
    <xf numFmtId="1" fontId="5" fillId="0" borderId="12" xfId="0" applyNumberFormat="1" applyFont="1" applyBorder="1" applyAlignment="1" applyProtection="1">
      <alignment horizontal="center"/>
      <protection locked="0"/>
    </xf>
    <xf numFmtId="2" fontId="5" fillId="2" borderId="4" xfId="0" applyNumberFormat="1" applyFont="1" applyFill="1" applyBorder="1" applyAlignment="1" applyProtection="1">
      <alignment horizontal="center"/>
      <protection locked="0"/>
    </xf>
    <xf numFmtId="3" fontId="5" fillId="2" borderId="4" xfId="0" applyNumberFormat="1" applyFont="1" applyFill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/>
      <protection locked="0"/>
    </xf>
    <xf numFmtId="2" fontId="5" fillId="2" borderId="10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9" fillId="0" borderId="19" xfId="0" applyFont="1" applyBorder="1"/>
    <xf numFmtId="0" fontId="8" fillId="3" borderId="21" xfId="0" applyFont="1" applyFill="1" applyBorder="1"/>
    <xf numFmtId="0" fontId="7" fillId="0" borderId="2" xfId="0" applyFont="1" applyBorder="1" applyAlignment="1">
      <alignment horizontal="center"/>
    </xf>
    <xf numFmtId="1" fontId="5" fillId="2" borderId="24" xfId="0" applyNumberFormat="1" applyFont="1" applyFill="1" applyBorder="1" applyAlignment="1" applyProtection="1">
      <alignment horizontal="center"/>
      <protection locked="0"/>
    </xf>
    <xf numFmtId="0" fontId="10" fillId="0" borderId="0" xfId="1"/>
    <xf numFmtId="0" fontId="10" fillId="8" borderId="0" xfId="1" applyFill="1"/>
    <xf numFmtId="0" fontId="14" fillId="9" borderId="31" xfId="1" applyFont="1" applyFill="1" applyBorder="1" applyAlignment="1">
      <alignment horizontal="center"/>
    </xf>
    <xf numFmtId="0" fontId="14" fillId="9" borderId="0" xfId="1" applyFont="1" applyFill="1" applyAlignment="1">
      <alignment horizontal="center"/>
    </xf>
    <xf numFmtId="0" fontId="14" fillId="9" borderId="32" xfId="1" applyFont="1" applyFill="1" applyBorder="1" applyAlignment="1">
      <alignment horizontal="center"/>
    </xf>
    <xf numFmtId="0" fontId="14" fillId="9" borderId="33" xfId="1" applyFont="1" applyFill="1" applyBorder="1" applyAlignment="1">
      <alignment horizontal="center"/>
    </xf>
    <xf numFmtId="0" fontId="10" fillId="9" borderId="31" xfId="1" applyFill="1" applyBorder="1"/>
    <xf numFmtId="0" fontId="10" fillId="9" borderId="0" xfId="1" applyFill="1"/>
    <xf numFmtId="0" fontId="10" fillId="7" borderId="34" xfId="1" applyFill="1" applyBorder="1"/>
    <xf numFmtId="0" fontId="10" fillId="9" borderId="33" xfId="1" applyFill="1" applyBorder="1"/>
    <xf numFmtId="0" fontId="10" fillId="7" borderId="1" xfId="1" applyFill="1" applyBorder="1"/>
    <xf numFmtId="0" fontId="10" fillId="9" borderId="1" xfId="1" applyFill="1" applyBorder="1"/>
    <xf numFmtId="0" fontId="11" fillId="7" borderId="1" xfId="1" applyFont="1" applyFill="1" applyBorder="1"/>
    <xf numFmtId="0" fontId="10" fillId="0" borderId="1" xfId="1" applyBorder="1" applyProtection="1">
      <protection locked="0"/>
    </xf>
    <xf numFmtId="0" fontId="11" fillId="8" borderId="0" xfId="1" applyFont="1" applyFill="1"/>
    <xf numFmtId="0" fontId="11" fillId="8" borderId="0" xfId="1" applyFont="1" applyFill="1" applyAlignment="1">
      <alignment horizontal="center"/>
    </xf>
    <xf numFmtId="2" fontId="10" fillId="10" borderId="1" xfId="1" applyNumberFormat="1" applyFill="1" applyBorder="1"/>
    <xf numFmtId="0" fontId="10" fillId="8" borderId="0" xfId="1" applyFill="1" applyAlignment="1">
      <alignment horizontal="center"/>
    </xf>
    <xf numFmtId="0" fontId="10" fillId="10" borderId="1" xfId="1" applyFill="1" applyBorder="1"/>
    <xf numFmtId="1" fontId="10" fillId="10" borderId="1" xfId="1" applyNumberFormat="1" applyFill="1" applyBorder="1"/>
    <xf numFmtId="0" fontId="10" fillId="8" borderId="0" xfId="1" applyFill="1" applyAlignment="1">
      <alignment horizontal="left"/>
    </xf>
    <xf numFmtId="0" fontId="10" fillId="9" borderId="35" xfId="1" applyFill="1" applyBorder="1"/>
    <xf numFmtId="0" fontId="10" fillId="9" borderId="32" xfId="1" applyFill="1" applyBorder="1" applyAlignment="1">
      <alignment horizontal="center"/>
    </xf>
    <xf numFmtId="0" fontId="10" fillId="9" borderId="32" xfId="1" applyFill="1" applyBorder="1"/>
    <xf numFmtId="0" fontId="10" fillId="9" borderId="36" xfId="1" applyFill="1" applyBorder="1"/>
    <xf numFmtId="0" fontId="10" fillId="8" borderId="0" xfId="1" applyFill="1" applyAlignment="1">
      <alignment vertical="center"/>
    </xf>
    <xf numFmtId="0" fontId="10" fillId="8" borderId="0" xfId="1" applyFill="1" applyAlignment="1">
      <alignment wrapText="1"/>
    </xf>
    <xf numFmtId="0" fontId="13" fillId="9" borderId="0" xfId="5" applyFill="1"/>
    <xf numFmtId="0" fontId="8" fillId="11" borderId="1" xfId="5" applyFont="1" applyFill="1" applyBorder="1"/>
    <xf numFmtId="0" fontId="15" fillId="0" borderId="0" xfId="5" applyFont="1" applyAlignment="1">
      <alignment wrapText="1"/>
    </xf>
    <xf numFmtId="0" fontId="13" fillId="0" borderId="0" xfId="5"/>
    <xf numFmtId="0" fontId="13" fillId="11" borderId="1" xfId="5" applyFill="1" applyBorder="1"/>
    <xf numFmtId="0" fontId="13" fillId="0" borderId="1" xfId="5" applyBorder="1" applyProtection="1">
      <protection locked="0"/>
    </xf>
    <xf numFmtId="0" fontId="8" fillId="11" borderId="1" xfId="5" applyFont="1" applyFill="1" applyBorder="1" applyAlignment="1">
      <alignment wrapText="1"/>
    </xf>
    <xf numFmtId="0" fontId="16" fillId="0" borderId="0" xfId="5" applyFont="1" applyAlignment="1">
      <alignment wrapText="1"/>
    </xf>
    <xf numFmtId="0" fontId="13" fillId="9" borderId="0" xfId="5" applyFill="1" applyProtection="1">
      <protection hidden="1"/>
    </xf>
    <xf numFmtId="0" fontId="8" fillId="9" borderId="1" xfId="5" applyFont="1" applyFill="1" applyBorder="1" applyAlignment="1" applyProtection="1">
      <alignment wrapText="1"/>
      <protection hidden="1"/>
    </xf>
    <xf numFmtId="0" fontId="8" fillId="9" borderId="1" xfId="5" applyFont="1" applyFill="1" applyBorder="1" applyProtection="1">
      <protection hidden="1"/>
    </xf>
    <xf numFmtId="0" fontId="13" fillId="9" borderId="1" xfId="5" applyFill="1" applyBorder="1" applyAlignment="1" applyProtection="1">
      <alignment wrapText="1"/>
      <protection hidden="1"/>
    </xf>
    <xf numFmtId="0" fontId="13" fillId="9" borderId="1" xfId="5" applyFill="1" applyBorder="1" applyProtection="1">
      <protection hidden="1"/>
    </xf>
    <xf numFmtId="0" fontId="13" fillId="9" borderId="0" xfId="5" applyFill="1" applyAlignment="1" applyProtection="1">
      <alignment wrapText="1"/>
      <protection hidden="1"/>
    </xf>
    <xf numFmtId="1" fontId="13" fillId="11" borderId="1" xfId="5" applyNumberFormat="1" applyFill="1" applyBorder="1"/>
    <xf numFmtId="0" fontId="17" fillId="0" borderId="0" xfId="5" applyFont="1"/>
    <xf numFmtId="0" fontId="16" fillId="0" borderId="0" xfId="5" applyFont="1"/>
    <xf numFmtId="0" fontId="13" fillId="0" borderId="0" xfId="5" applyAlignment="1">
      <alignment wrapText="1"/>
    </xf>
    <xf numFmtId="0" fontId="18" fillId="0" borderId="0" xfId="5" applyFont="1"/>
    <xf numFmtId="0" fontId="0" fillId="0" borderId="0" xfId="0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" fillId="0" borderId="6" xfId="0" applyFont="1" applyBorder="1" applyAlignment="1">
      <alignment horizontal="right"/>
    </xf>
    <xf numFmtId="14" fontId="1" fillId="2" borderId="18" xfId="0" applyNumberFormat="1" applyFont="1" applyFill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0" fillId="0" borderId="25" xfId="0" applyFont="1" applyBorder="1" applyAlignment="1">
      <alignment horizontal="center" vertical="center"/>
    </xf>
    <xf numFmtId="0" fontId="20" fillId="0" borderId="0" xfId="0" applyFont="1"/>
    <xf numFmtId="0" fontId="20" fillId="0" borderId="6" xfId="0" applyFont="1" applyBorder="1" applyAlignment="1">
      <alignment horizontal="right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 applyProtection="1">
      <alignment horizontal="center"/>
      <protection locked="0"/>
    </xf>
    <xf numFmtId="0" fontId="0" fillId="12" borderId="0" xfId="0" applyFill="1"/>
    <xf numFmtId="0" fontId="13" fillId="9" borderId="0" xfId="5" applyFill="1" applyAlignment="1">
      <alignment wrapText="1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6" fillId="0" borderId="39" xfId="0" applyFont="1" applyBorder="1"/>
    <xf numFmtId="1" fontId="5" fillId="2" borderId="37" xfId="0" applyNumberFormat="1" applyFont="1" applyFill="1" applyBorder="1" applyAlignment="1" applyProtection="1">
      <alignment horizontal="center"/>
      <protection locked="0"/>
    </xf>
    <xf numFmtId="1" fontId="5" fillId="2" borderId="40" xfId="0" applyNumberFormat="1" applyFont="1" applyFill="1" applyBorder="1" applyAlignment="1" applyProtection="1">
      <alignment horizontal="center"/>
      <protection locked="0"/>
    </xf>
    <xf numFmtId="0" fontId="9" fillId="0" borderId="1" xfId="0" applyFont="1" applyBorder="1"/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9" fillId="0" borderId="13" xfId="0" applyFont="1" applyBorder="1"/>
    <xf numFmtId="1" fontId="5" fillId="2" borderId="2" xfId="0" applyNumberFormat="1" applyFont="1" applyFill="1" applyBorder="1" applyAlignment="1" applyProtection="1">
      <alignment horizontal="center"/>
      <protection locked="0"/>
    </xf>
    <xf numFmtId="0" fontId="20" fillId="0" borderId="24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164" fontId="1" fillId="2" borderId="18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4" fillId="0" borderId="13" xfId="0" applyFont="1" applyBorder="1"/>
    <xf numFmtId="2" fontId="5" fillId="2" borderId="44" xfId="0" applyNumberFormat="1" applyFont="1" applyFill="1" applyBorder="1" applyAlignment="1" applyProtection="1">
      <alignment horizontal="center"/>
      <protection locked="0"/>
    </xf>
    <xf numFmtId="2" fontId="5" fillId="2" borderId="14" xfId="0" applyNumberFormat="1" applyFont="1" applyFill="1" applyBorder="1" applyAlignment="1" applyProtection="1">
      <alignment horizontal="center"/>
      <protection locked="0"/>
    </xf>
    <xf numFmtId="2" fontId="5" fillId="2" borderId="45" xfId="0" applyNumberFormat="1" applyFont="1" applyFill="1" applyBorder="1" applyAlignment="1" applyProtection="1">
      <alignment horizontal="center"/>
      <protection locked="0"/>
    </xf>
    <xf numFmtId="0" fontId="6" fillId="0" borderId="5" xfId="0" applyFont="1" applyBorder="1"/>
    <xf numFmtId="0" fontId="7" fillId="0" borderId="6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1" fontId="5" fillId="2" borderId="10" xfId="0" applyNumberFormat="1" applyFont="1" applyFill="1" applyBorder="1" applyAlignment="1" applyProtection="1">
      <alignment horizontal="center"/>
      <protection locked="0"/>
    </xf>
    <xf numFmtId="0" fontId="20" fillId="0" borderId="45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0" fontId="9" fillId="0" borderId="0" xfId="0" applyFont="1"/>
    <xf numFmtId="0" fontId="0" fillId="0" borderId="41" xfId="0" applyBorder="1" applyAlignment="1" applyProtection="1">
      <alignment horizontal="center" vertical="center"/>
      <protection locked="0"/>
    </xf>
    <xf numFmtId="0" fontId="20" fillId="0" borderId="42" xfId="0" applyFont="1" applyBorder="1" applyAlignment="1" applyProtection="1">
      <alignment horizontal="center" vertical="center"/>
      <protection locked="0"/>
    </xf>
    <xf numFmtId="165" fontId="5" fillId="2" borderId="1" xfId="0" applyNumberFormat="1" applyFont="1" applyFill="1" applyBorder="1" applyAlignment="1" applyProtection="1">
      <alignment horizontal="center"/>
      <protection locked="0"/>
    </xf>
    <xf numFmtId="0" fontId="4" fillId="3" borderId="5" xfId="0" applyFont="1" applyFill="1" applyBorder="1"/>
    <xf numFmtId="0" fontId="5" fillId="3" borderId="6" xfId="0" applyFont="1" applyFill="1" applyBorder="1" applyAlignment="1" applyProtection="1">
      <alignment horizontal="center"/>
      <protection locked="0"/>
    </xf>
    <xf numFmtId="0" fontId="5" fillId="3" borderId="8" xfId="0" applyFont="1" applyFill="1" applyBorder="1" applyAlignment="1" applyProtection="1">
      <alignment horizontal="center"/>
      <protection locked="0"/>
    </xf>
    <xf numFmtId="0" fontId="1" fillId="3" borderId="7" xfId="0" applyFont="1" applyFill="1" applyBorder="1" applyAlignment="1">
      <alignment horizontal="center"/>
    </xf>
    <xf numFmtId="0" fontId="20" fillId="3" borderId="6" xfId="0" applyFont="1" applyFill="1" applyBorder="1" applyAlignment="1">
      <alignment horizontal="right"/>
    </xf>
    <xf numFmtId="164" fontId="1" fillId="3" borderId="18" xfId="0" applyNumberFormat="1" applyFont="1" applyFill="1" applyBorder="1" applyAlignment="1">
      <alignment horizontal="center"/>
    </xf>
    <xf numFmtId="0" fontId="4" fillId="3" borderId="9" xfId="0" applyFont="1" applyFill="1" applyBorder="1"/>
    <xf numFmtId="3" fontId="5" fillId="3" borderId="1" xfId="0" applyNumberFormat="1" applyFont="1" applyFill="1" applyBorder="1" applyAlignment="1" applyProtection="1">
      <alignment horizontal="center"/>
      <protection locked="0"/>
    </xf>
    <xf numFmtId="3" fontId="5" fillId="3" borderId="4" xfId="0" applyNumberFormat="1" applyFont="1" applyFill="1" applyBorder="1" applyAlignment="1" applyProtection="1">
      <alignment horizontal="center"/>
      <protection locked="0"/>
    </xf>
    <xf numFmtId="165" fontId="5" fillId="3" borderId="1" xfId="0" applyNumberFormat="1" applyFont="1" applyFill="1" applyBorder="1" applyAlignment="1" applyProtection="1">
      <alignment horizontal="center"/>
      <protection locked="0"/>
    </xf>
    <xf numFmtId="0" fontId="2" fillId="3" borderId="0" xfId="0" applyFont="1" applyFill="1"/>
    <xf numFmtId="1" fontId="5" fillId="3" borderId="12" xfId="0" applyNumberFormat="1" applyFont="1" applyFill="1" applyBorder="1" applyAlignment="1" applyProtection="1">
      <alignment horizontal="center"/>
      <protection locked="0"/>
    </xf>
    <xf numFmtId="1" fontId="5" fillId="3" borderId="1" xfId="0" applyNumberFormat="1" applyFont="1" applyFill="1" applyBorder="1" applyAlignment="1" applyProtection="1">
      <alignment horizontal="center"/>
      <protection locked="0"/>
    </xf>
    <xf numFmtId="2" fontId="5" fillId="3" borderId="4" xfId="0" applyNumberFormat="1" applyFont="1" applyFill="1" applyBorder="1" applyAlignment="1" applyProtection="1">
      <alignment horizontal="center"/>
      <protection locked="0"/>
    </xf>
    <xf numFmtId="2" fontId="5" fillId="3" borderId="1" xfId="0" applyNumberFormat="1" applyFont="1" applyFill="1" applyBorder="1" applyAlignment="1" applyProtection="1">
      <alignment horizontal="center"/>
      <protection locked="0"/>
    </xf>
    <xf numFmtId="2" fontId="5" fillId="3" borderId="10" xfId="0" applyNumberFormat="1" applyFont="1" applyFill="1" applyBorder="1" applyAlignment="1" applyProtection="1">
      <alignment horizontal="center"/>
      <protection locked="0"/>
    </xf>
    <xf numFmtId="0" fontId="1" fillId="3" borderId="1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0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6" fillId="3" borderId="9" xfId="0" applyFont="1" applyFill="1" applyBorder="1"/>
    <xf numFmtId="0" fontId="7" fillId="3" borderId="1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6" fillId="3" borderId="39" xfId="0" applyFont="1" applyFill="1" applyBorder="1"/>
    <xf numFmtId="1" fontId="5" fillId="3" borderId="2" xfId="0" applyNumberFormat="1" applyFont="1" applyFill="1" applyBorder="1" applyAlignment="1" applyProtection="1">
      <alignment horizontal="center"/>
      <protection locked="0"/>
    </xf>
    <xf numFmtId="0" fontId="9" fillId="3" borderId="13" xfId="0" applyFont="1" applyFill="1" applyBorder="1"/>
    <xf numFmtId="0" fontId="0" fillId="3" borderId="41" xfId="0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6" fillId="0" borderId="39" xfId="0" applyFont="1" applyBorder="1" applyAlignment="1">
      <alignment wrapText="1"/>
    </xf>
    <xf numFmtId="0" fontId="3" fillId="2" borderId="15" xfId="0" applyFont="1" applyFill="1" applyBorder="1" applyAlignment="1" applyProtection="1">
      <alignment horizontal="center"/>
      <protection locked="0"/>
    </xf>
    <xf numFmtId="0" fontId="3" fillId="2" borderId="16" xfId="0" applyFont="1" applyFill="1" applyBorder="1" applyAlignment="1" applyProtection="1">
      <alignment horizontal="center"/>
      <protection locked="0"/>
    </xf>
    <xf numFmtId="0" fontId="4" fillId="0" borderId="15" xfId="0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20" fillId="0" borderId="15" xfId="0" applyFont="1" applyBorder="1" applyAlignment="1">
      <alignment horizontal="right"/>
    </xf>
    <xf numFmtId="0" fontId="20" fillId="0" borderId="17" xfId="0" applyFont="1" applyBorder="1" applyAlignment="1">
      <alignment horizontal="right"/>
    </xf>
    <xf numFmtId="0" fontId="20" fillId="0" borderId="16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3" xfId="0" applyFont="1" applyBorder="1" applyAlignment="1">
      <alignment horizontal="right"/>
    </xf>
    <xf numFmtId="0" fontId="20" fillId="0" borderId="4" xfId="0" applyFont="1" applyBorder="1" applyAlignment="1">
      <alignment horizontal="right"/>
    </xf>
    <xf numFmtId="0" fontId="20" fillId="0" borderId="2" xfId="0" applyFont="1" applyBorder="1"/>
    <xf numFmtId="0" fontId="20" fillId="0" borderId="15" xfId="0" applyFont="1" applyBorder="1"/>
    <xf numFmtId="0" fontId="4" fillId="0" borderId="2" xfId="0" applyFont="1" applyBorder="1"/>
    <xf numFmtId="0" fontId="19" fillId="0" borderId="26" xfId="0" applyFont="1" applyBorder="1" applyAlignment="1">
      <alignment horizontal="center" vertical="top" wrapText="1"/>
    </xf>
    <xf numFmtId="0" fontId="19" fillId="0" borderId="7" xfId="0" applyFont="1" applyBorder="1" applyAlignment="1">
      <alignment horizontal="center" vertical="top" wrapText="1"/>
    </xf>
    <xf numFmtId="0" fontId="19" fillId="0" borderId="27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28" xfId="0" applyFont="1" applyBorder="1" applyAlignment="1">
      <alignment horizontal="center" vertical="top" wrapText="1"/>
    </xf>
    <xf numFmtId="0" fontId="19" fillId="0" borderId="29" xfId="0" applyFont="1" applyBorder="1" applyAlignment="1">
      <alignment horizontal="center" vertical="top" wrapText="1"/>
    </xf>
    <xf numFmtId="0" fontId="19" fillId="0" borderId="30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3" xfId="0" applyFont="1" applyBorder="1" applyAlignment="1">
      <alignment horizontal="right"/>
    </xf>
    <xf numFmtId="0" fontId="20" fillId="0" borderId="4" xfId="0" applyFont="1" applyBorder="1" applyAlignment="1">
      <alignment horizontal="right"/>
    </xf>
    <xf numFmtId="0" fontId="3" fillId="2" borderId="15" xfId="0" applyFont="1" applyFill="1" applyBorder="1" applyAlignment="1" applyProtection="1">
      <alignment horizontal="center"/>
      <protection locked="0"/>
    </xf>
    <xf numFmtId="0" fontId="3" fillId="2" borderId="16" xfId="0" applyFont="1" applyFill="1" applyBorder="1" applyAlignment="1" applyProtection="1">
      <alignment horizontal="center"/>
      <protection locked="0"/>
    </xf>
    <xf numFmtId="0" fontId="4" fillId="0" borderId="15" xfId="0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20" fillId="0" borderId="15" xfId="0" applyFont="1" applyBorder="1" applyAlignment="1">
      <alignment horizontal="right"/>
    </xf>
    <xf numFmtId="0" fontId="20" fillId="0" borderId="17" xfId="0" applyFont="1" applyBorder="1" applyAlignment="1">
      <alignment horizontal="right"/>
    </xf>
    <xf numFmtId="0" fontId="20" fillId="0" borderId="16" xfId="0" applyFont="1" applyBorder="1" applyAlignment="1">
      <alignment horizontal="right"/>
    </xf>
    <xf numFmtId="0" fontId="3" fillId="3" borderId="15" xfId="0" applyFont="1" applyFill="1" applyBorder="1" applyAlignment="1" applyProtection="1">
      <alignment horizontal="center"/>
      <protection locked="0"/>
    </xf>
    <xf numFmtId="0" fontId="3" fillId="3" borderId="16" xfId="0" applyFont="1" applyFill="1" applyBorder="1" applyAlignment="1" applyProtection="1">
      <alignment horizontal="center"/>
      <protection locked="0"/>
    </xf>
    <xf numFmtId="0" fontId="4" fillId="3" borderId="15" xfId="0" applyFont="1" applyFill="1" applyBorder="1" applyAlignment="1">
      <alignment horizontal="right"/>
    </xf>
    <xf numFmtId="0" fontId="4" fillId="3" borderId="16" xfId="0" applyFont="1" applyFill="1" applyBorder="1" applyAlignment="1">
      <alignment horizontal="right"/>
    </xf>
    <xf numFmtId="0" fontId="20" fillId="3" borderId="15" xfId="0" applyFont="1" applyFill="1" applyBorder="1" applyAlignment="1">
      <alignment horizontal="right"/>
    </xf>
    <xf numFmtId="0" fontId="20" fillId="3" borderId="17" xfId="0" applyFont="1" applyFill="1" applyBorder="1" applyAlignment="1">
      <alignment horizontal="right"/>
    </xf>
    <xf numFmtId="0" fontId="20" fillId="3" borderId="16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20" fillId="3" borderId="2" xfId="0" applyFont="1" applyFill="1" applyBorder="1" applyAlignment="1">
      <alignment horizontal="right"/>
    </xf>
    <xf numFmtId="0" fontId="20" fillId="3" borderId="3" xfId="0" applyFont="1" applyFill="1" applyBorder="1" applyAlignment="1">
      <alignment horizontal="right"/>
    </xf>
    <xf numFmtId="0" fontId="20" fillId="3" borderId="4" xfId="0" applyFont="1" applyFill="1" applyBorder="1" applyAlignment="1">
      <alignment horizontal="right"/>
    </xf>
    <xf numFmtId="0" fontId="19" fillId="3" borderId="26" xfId="0" applyFont="1" applyFill="1" applyBorder="1" applyAlignment="1">
      <alignment horizontal="center" vertical="top" wrapText="1"/>
    </xf>
    <xf numFmtId="0" fontId="19" fillId="3" borderId="7" xfId="0" applyFont="1" applyFill="1" applyBorder="1" applyAlignment="1">
      <alignment horizontal="center" vertical="top" wrapText="1"/>
    </xf>
    <xf numFmtId="0" fontId="19" fillId="3" borderId="27" xfId="0" applyFont="1" applyFill="1" applyBorder="1" applyAlignment="1">
      <alignment horizontal="center" vertical="top" wrapText="1"/>
    </xf>
    <xf numFmtId="0" fontId="19" fillId="3" borderId="11" xfId="0" applyFont="1" applyFill="1" applyBorder="1" applyAlignment="1">
      <alignment horizontal="center" vertical="top" wrapText="1"/>
    </xf>
    <xf numFmtId="0" fontId="19" fillId="3" borderId="0" xfId="0" applyFont="1" applyFill="1" applyAlignment="1">
      <alignment horizontal="center" vertical="top" wrapText="1"/>
    </xf>
    <xf numFmtId="0" fontId="19" fillId="3" borderId="12" xfId="0" applyFont="1" applyFill="1" applyBorder="1" applyAlignment="1">
      <alignment horizontal="center" vertical="top" wrapText="1"/>
    </xf>
    <xf numFmtId="0" fontId="19" fillId="3" borderId="28" xfId="0" applyFont="1" applyFill="1" applyBorder="1" applyAlignment="1">
      <alignment horizontal="center" vertical="top" wrapText="1"/>
    </xf>
    <xf numFmtId="0" fontId="19" fillId="3" borderId="29" xfId="0" applyFont="1" applyFill="1" applyBorder="1" applyAlignment="1">
      <alignment horizontal="center" vertical="top" wrapText="1"/>
    </xf>
    <xf numFmtId="0" fontId="19" fillId="3" borderId="30" xfId="0" applyFont="1" applyFill="1" applyBorder="1" applyAlignment="1">
      <alignment horizontal="center" vertical="top" wrapText="1"/>
    </xf>
    <xf numFmtId="0" fontId="13" fillId="10" borderId="37" xfId="5" applyFill="1" applyBorder="1" applyAlignment="1">
      <alignment horizontal="left" vertical="center" wrapText="1"/>
    </xf>
    <xf numFmtId="0" fontId="13" fillId="10" borderId="34" xfId="5" applyFill="1" applyBorder="1" applyAlignment="1">
      <alignment horizontal="left" vertical="center" wrapText="1"/>
    </xf>
    <xf numFmtId="0" fontId="13" fillId="10" borderId="37" xfId="5" applyFill="1" applyBorder="1" applyAlignment="1">
      <alignment vertical="center" wrapText="1"/>
    </xf>
    <xf numFmtId="0" fontId="13" fillId="10" borderId="38" xfId="5" applyFill="1" applyBorder="1" applyAlignment="1">
      <alignment vertical="center" wrapText="1"/>
    </xf>
    <xf numFmtId="0" fontId="13" fillId="10" borderId="34" xfId="5" applyFill="1" applyBorder="1" applyAlignment="1">
      <alignment vertical="center" wrapText="1"/>
    </xf>
    <xf numFmtId="0" fontId="13" fillId="10" borderId="1" xfId="5" applyFill="1" applyBorder="1" applyAlignment="1">
      <alignment wrapText="1"/>
    </xf>
    <xf numFmtId="0" fontId="13" fillId="9" borderId="0" xfId="5" applyFill="1" applyAlignment="1">
      <alignment wrapText="1"/>
    </xf>
    <xf numFmtId="0" fontId="11" fillId="7" borderId="1" xfId="1" applyFont="1" applyFill="1" applyBorder="1" applyAlignment="1">
      <alignment horizontal="left"/>
    </xf>
    <xf numFmtId="0" fontId="14" fillId="7" borderId="2" xfId="1" applyFont="1" applyFill="1" applyBorder="1" applyAlignment="1">
      <alignment horizontal="center"/>
    </xf>
    <xf numFmtId="0" fontId="14" fillId="7" borderId="3" xfId="1" applyFont="1" applyFill="1" applyBorder="1" applyAlignment="1">
      <alignment horizontal="center"/>
    </xf>
    <xf numFmtId="0" fontId="14" fillId="7" borderId="4" xfId="1" applyFont="1" applyFill="1" applyBorder="1" applyAlignment="1">
      <alignment horizontal="center"/>
    </xf>
    <xf numFmtId="0" fontId="11" fillId="7" borderId="2" xfId="1" applyFont="1" applyFill="1" applyBorder="1" applyAlignment="1">
      <alignment horizontal="center"/>
    </xf>
    <xf numFmtId="0" fontId="11" fillId="7" borderId="3" xfId="1" applyFont="1" applyFill="1" applyBorder="1" applyAlignment="1">
      <alignment horizontal="center"/>
    </xf>
    <xf numFmtId="0" fontId="11" fillId="7" borderId="4" xfId="1" applyFont="1" applyFill="1" applyBorder="1" applyAlignment="1">
      <alignment horizontal="center"/>
    </xf>
    <xf numFmtId="0" fontId="11" fillId="7" borderId="1" xfId="1" applyFont="1" applyFill="1" applyBorder="1" applyAlignment="1">
      <alignment horizontal="center" wrapText="1"/>
    </xf>
    <xf numFmtId="0" fontId="11" fillId="7" borderId="1" xfId="1" applyFont="1" applyFill="1" applyBorder="1" applyAlignment="1">
      <alignment horizontal="center"/>
    </xf>
    <xf numFmtId="0" fontId="20" fillId="0" borderId="7" xfId="0" applyFont="1" applyBorder="1" applyAlignment="1">
      <alignment horizontal="center" vertical="top" wrapText="1"/>
    </xf>
    <xf numFmtId="0" fontId="20" fillId="0" borderId="27" xfId="0" applyFont="1" applyBorder="1" applyAlignment="1">
      <alignment horizontal="center" vertical="top" wrapText="1"/>
    </xf>
    <xf numFmtId="0" fontId="20" fillId="0" borderId="11" xfId="0" applyFont="1" applyBorder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20" fillId="0" borderId="12" xfId="0" applyFont="1" applyBorder="1" applyAlignment="1">
      <alignment horizontal="center" vertical="top" wrapText="1"/>
    </xf>
    <xf numFmtId="0" fontId="20" fillId="0" borderId="28" xfId="0" applyFont="1" applyBorder="1" applyAlignment="1">
      <alignment horizontal="center" vertical="top" wrapText="1"/>
    </xf>
    <xf numFmtId="0" fontId="20" fillId="0" borderId="29" xfId="0" applyFont="1" applyBorder="1" applyAlignment="1">
      <alignment horizontal="center" vertical="top" wrapText="1"/>
    </xf>
    <xf numFmtId="0" fontId="20" fillId="0" borderId="30" xfId="0" applyFont="1" applyBorder="1" applyAlignment="1">
      <alignment horizontal="center" vertical="top" wrapText="1"/>
    </xf>
    <xf numFmtId="0" fontId="22" fillId="13" borderId="0" xfId="0" applyFont="1" applyFill="1" applyAlignment="1">
      <alignment horizontal="center"/>
    </xf>
    <xf numFmtId="0" fontId="0" fillId="0" borderId="0" xfId="0"/>
    <xf numFmtId="0" fontId="8" fillId="3" borderId="22" xfId="0" applyFont="1" applyFill="1" applyBorder="1"/>
    <xf numFmtId="0" fontId="8" fillId="3" borderId="23" xfId="0" applyFont="1" applyFill="1" applyBorder="1"/>
    <xf numFmtId="0" fontId="4" fillId="0" borderId="17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44" xfId="0" applyFont="1" applyBorder="1" applyAlignment="1">
      <alignment horizontal="right"/>
    </xf>
    <xf numFmtId="0" fontId="20" fillId="0" borderId="24" xfId="0" applyFont="1" applyBorder="1" applyAlignment="1">
      <alignment horizontal="right"/>
    </xf>
    <xf numFmtId="0" fontId="20" fillId="0" borderId="43" xfId="0" applyFont="1" applyBorder="1" applyAlignment="1">
      <alignment horizontal="right"/>
    </xf>
    <xf numFmtId="0" fontId="20" fillId="0" borderId="44" xfId="0" applyFont="1" applyBorder="1" applyAlignment="1">
      <alignment horizontal="right"/>
    </xf>
  </cellXfs>
  <cellStyles count="6">
    <cellStyle name="20% - Accent2 2" xfId="4" xr:uid="{00000000-0005-0000-0000-000000000000}"/>
    <cellStyle name="40% - Accent1 2" xfId="3" xr:uid="{00000000-0005-0000-0000-000001000000}"/>
    <cellStyle name="Good 2" xfId="2" xr:uid="{00000000-0005-0000-0000-000002000000}"/>
    <cellStyle name="Normal" xfId="0" builtinId="0"/>
    <cellStyle name="Normal 2" xfId="5" xr:uid="{00000000-0005-0000-0000-000004000000}"/>
    <cellStyle name="Normal 3" xfId="1" xr:uid="{00000000-0005-0000-0000-000005000000}"/>
  </cellStyles>
  <dxfs count="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FF99FF66"/>
      <color rgb="FFBAFB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2</xdr:row>
      <xdr:rowOff>9525</xdr:rowOff>
    </xdr:from>
    <xdr:to>
      <xdr:col>7</xdr:col>
      <xdr:colOff>5403273</xdr:colOff>
      <xdr:row>36</xdr:row>
      <xdr:rowOff>330992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1676"/>
        <a:stretch>
          <a:fillRect/>
        </a:stretch>
      </xdr:blipFill>
      <xdr:spPr bwMode="auto">
        <a:xfrm>
          <a:off x="6448425" y="1333500"/>
          <a:ext cx="5384223" cy="68365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419100</xdr:colOff>
      <xdr:row>4</xdr:row>
      <xdr:rowOff>142875</xdr:rowOff>
    </xdr:from>
    <xdr:to>
      <xdr:col>7</xdr:col>
      <xdr:colOff>1485900</xdr:colOff>
      <xdr:row>26</xdr:row>
      <xdr:rowOff>152399</xdr:rowOff>
    </xdr:to>
    <xdr:sp macro="" textlink="">
      <xdr:nvSpPr>
        <xdr:cNvPr id="3" name="Oval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6848475" y="1847850"/>
          <a:ext cx="1066800" cy="5676899"/>
        </a:xfrm>
        <a:prstGeom prst="ellipse">
          <a:avLst/>
        </a:prstGeom>
        <a:noFill/>
        <a:ln w="254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657225</xdr:colOff>
      <xdr:row>13</xdr:row>
      <xdr:rowOff>104775</xdr:rowOff>
    </xdr:from>
    <xdr:to>
      <xdr:col>7</xdr:col>
      <xdr:colOff>1419225</xdr:colOff>
      <xdr:row>18</xdr:row>
      <xdr:rowOff>104775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086600" y="3495675"/>
          <a:ext cx="762000" cy="2457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4800" b="0" i="0" u="none" strike="noStrike" baseline="0">
              <a:solidFill>
                <a:srgbClr val="000000"/>
              </a:solidFill>
              <a:latin typeface="Calibri"/>
            </a:rPr>
            <a:t>1</a:t>
          </a:r>
        </a:p>
        <a:p>
          <a:pPr algn="l" rtl="0">
            <a:defRPr sz="1000"/>
          </a:pPr>
          <a:endParaRPr lang="en-GB" sz="48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7</xdr:col>
      <xdr:colOff>1524000</xdr:colOff>
      <xdr:row>18</xdr:row>
      <xdr:rowOff>28575</xdr:rowOff>
    </xdr:from>
    <xdr:to>
      <xdr:col>7</xdr:col>
      <xdr:colOff>3600450</xdr:colOff>
      <xdr:row>26</xdr:row>
      <xdr:rowOff>161924</xdr:rowOff>
    </xdr:to>
    <xdr:sp macro="" textlink="">
      <xdr:nvSpPr>
        <xdr:cNvPr id="5" name="Oval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7953375" y="5876925"/>
          <a:ext cx="2076450" cy="1657349"/>
        </a:xfrm>
        <a:prstGeom prst="ellipse">
          <a:avLst/>
        </a:prstGeom>
        <a:noFill/>
        <a:ln w="254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2162175</xdr:colOff>
      <xdr:row>20</xdr:row>
      <xdr:rowOff>171450</xdr:rowOff>
    </xdr:from>
    <xdr:to>
      <xdr:col>7</xdr:col>
      <xdr:colOff>2924175</xdr:colOff>
      <xdr:row>25</xdr:row>
      <xdr:rowOff>38100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8591550" y="6400800"/>
          <a:ext cx="762000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4800" b="0" i="0" u="none" strike="noStrike" baseline="0">
              <a:solidFill>
                <a:srgbClr val="000000"/>
              </a:solidFill>
              <a:latin typeface="Calibri"/>
              <a:cs typeface="+mn-cs"/>
            </a:rPr>
            <a:t>5</a:t>
          </a:r>
          <a:endParaRPr lang="en-GB" sz="4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GB" sz="4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7</xdr:col>
      <xdr:colOff>4067175</xdr:colOff>
      <xdr:row>18</xdr:row>
      <xdr:rowOff>114300</xdr:rowOff>
    </xdr:from>
    <xdr:to>
      <xdr:col>7</xdr:col>
      <xdr:colOff>4819650</xdr:colOff>
      <xdr:row>23</xdr:row>
      <xdr:rowOff>152400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0496550" y="5962650"/>
          <a:ext cx="752475" cy="990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4800" b="0" i="0" u="none" strike="noStrike" baseline="0">
              <a:solidFill>
                <a:srgbClr val="000000"/>
              </a:solidFill>
              <a:latin typeface="Calibri"/>
            </a:rPr>
            <a:t>4</a:t>
          </a:r>
          <a:endParaRPr lang="en-GB" sz="4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GB" sz="4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7</xdr:col>
      <xdr:colOff>3629025</xdr:colOff>
      <xdr:row>16</xdr:row>
      <xdr:rowOff>47626</xdr:rowOff>
    </xdr:from>
    <xdr:to>
      <xdr:col>7</xdr:col>
      <xdr:colOff>5172075</xdr:colOff>
      <xdr:row>26</xdr:row>
      <xdr:rowOff>161926</xdr:rowOff>
    </xdr:to>
    <xdr:sp macro="" textlink="">
      <xdr:nvSpPr>
        <xdr:cNvPr id="8" name="Oval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10058400" y="5514976"/>
          <a:ext cx="1543050" cy="2019300"/>
        </a:xfrm>
        <a:prstGeom prst="ellipse">
          <a:avLst/>
        </a:prstGeom>
        <a:noFill/>
        <a:ln w="254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3238499</xdr:colOff>
      <xdr:row>4</xdr:row>
      <xdr:rowOff>152400</xdr:rowOff>
    </xdr:from>
    <xdr:to>
      <xdr:col>7</xdr:col>
      <xdr:colOff>5267324</xdr:colOff>
      <xdr:row>15</xdr:row>
      <xdr:rowOff>85725</xdr:rowOff>
    </xdr:to>
    <xdr:sp macro="" textlink="">
      <xdr:nvSpPr>
        <xdr:cNvPr id="9" name="Oval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9667874" y="1857375"/>
          <a:ext cx="2028825" cy="3505200"/>
        </a:xfrm>
        <a:prstGeom prst="ellipse">
          <a:avLst/>
        </a:prstGeom>
        <a:noFill/>
        <a:ln w="254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3895725</xdr:colOff>
      <xdr:row>9</xdr:row>
      <xdr:rowOff>19050</xdr:rowOff>
    </xdr:from>
    <xdr:to>
      <xdr:col>7</xdr:col>
      <xdr:colOff>4657725</xdr:colOff>
      <xdr:row>14</xdr:row>
      <xdr:rowOff>76200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0325100" y="2676525"/>
          <a:ext cx="762000" cy="2505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4800" b="0" i="0" u="none" strike="noStrike" baseline="0">
              <a:solidFill>
                <a:srgbClr val="000000"/>
              </a:solidFill>
              <a:latin typeface="Calibri"/>
            </a:rPr>
            <a:t>2</a:t>
          </a:r>
          <a:endParaRPr lang="en-GB" sz="4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GB" sz="4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7</xdr:col>
      <xdr:colOff>1362075</xdr:colOff>
      <xdr:row>4</xdr:row>
      <xdr:rowOff>152401</xdr:rowOff>
    </xdr:from>
    <xdr:to>
      <xdr:col>7</xdr:col>
      <xdr:colOff>3438525</xdr:colOff>
      <xdr:row>15</xdr:row>
      <xdr:rowOff>38100</xdr:rowOff>
    </xdr:to>
    <xdr:sp macro="" textlink="">
      <xdr:nvSpPr>
        <xdr:cNvPr id="11" name="Oval 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7791450" y="1857376"/>
          <a:ext cx="2076450" cy="3457574"/>
        </a:xfrm>
        <a:prstGeom prst="ellipse">
          <a:avLst/>
        </a:prstGeom>
        <a:noFill/>
        <a:ln w="254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2028825</xdr:colOff>
      <xdr:row>9</xdr:row>
      <xdr:rowOff>57150</xdr:rowOff>
    </xdr:from>
    <xdr:to>
      <xdr:col>7</xdr:col>
      <xdr:colOff>2790825</xdr:colOff>
      <xdr:row>12</xdr:row>
      <xdr:rowOff>161925</xdr:rowOff>
    </xdr:to>
    <xdr:sp macro="" textlink="">
      <xdr:nvSpPr>
        <xdr:cNvPr id="12" name="Text Box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8458200" y="2714625"/>
          <a:ext cx="7620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4800" b="0" i="0" u="none" strike="noStrike" baseline="0">
              <a:solidFill>
                <a:srgbClr val="000000"/>
              </a:solidFill>
              <a:latin typeface="Calibri"/>
              <a:cs typeface="+mn-cs"/>
            </a:rPr>
            <a:t>3</a:t>
          </a:r>
          <a:endParaRPr lang="en-GB" sz="4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GB" sz="4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FFEB-92C6-47E4-9326-028C91233995}">
  <dimension ref="B1:N8"/>
  <sheetViews>
    <sheetView tabSelected="1" workbookViewId="0">
      <selection activeCell="N13" sqref="N13"/>
    </sheetView>
  </sheetViews>
  <sheetFormatPr defaultRowHeight="15" x14ac:dyDescent="0.25"/>
  <cols>
    <col min="14" max="14" width="16" bestFit="1" customWidth="1"/>
  </cols>
  <sheetData>
    <row r="1" spans="2:14" ht="15.75" thickBot="1" x14ac:dyDescent="0.3"/>
    <row r="2" spans="2:14" ht="15.75" x14ac:dyDescent="0.25">
      <c r="B2" s="2" t="s">
        <v>0</v>
      </c>
      <c r="C2" s="144" t="s">
        <v>202</v>
      </c>
      <c r="D2" s="145"/>
      <c r="E2" s="146" t="s">
        <v>1</v>
      </c>
      <c r="F2" s="147"/>
      <c r="G2" s="11">
        <v>140</v>
      </c>
      <c r="H2" s="158" t="s">
        <v>2</v>
      </c>
      <c r="I2" s="149"/>
      <c r="J2" s="150"/>
      <c r="K2" s="13">
        <v>140</v>
      </c>
      <c r="L2" s="3"/>
      <c r="M2" s="80" t="s">
        <v>11</v>
      </c>
      <c r="N2" s="98">
        <v>46025</v>
      </c>
    </row>
    <row r="3" spans="2:14" ht="15.75" x14ac:dyDescent="0.25">
      <c r="B3" s="4" t="s">
        <v>3</v>
      </c>
      <c r="C3" s="10">
        <v>34575</v>
      </c>
      <c r="D3" s="159" t="s">
        <v>57</v>
      </c>
      <c r="E3" s="152"/>
      <c r="F3" s="153"/>
      <c r="G3" s="18">
        <v>7821</v>
      </c>
      <c r="H3" s="157" t="s">
        <v>4</v>
      </c>
      <c r="I3" s="155"/>
      <c r="J3" s="156"/>
      <c r="K3" s="113">
        <v>61</v>
      </c>
      <c r="L3" s="15"/>
      <c r="M3" s="15"/>
      <c r="N3" s="16"/>
    </row>
    <row r="4" spans="2:14" ht="15.75" x14ac:dyDescent="0.25">
      <c r="B4" s="4" t="s">
        <v>5</v>
      </c>
      <c r="C4" s="19">
        <v>69</v>
      </c>
      <c r="D4" s="159" t="s">
        <v>8</v>
      </c>
      <c r="E4" s="152"/>
      <c r="F4" s="153"/>
      <c r="G4" s="17">
        <v>0.28000000000000003</v>
      </c>
      <c r="H4" s="157" t="s">
        <v>254</v>
      </c>
      <c r="I4" s="155"/>
      <c r="J4" s="156"/>
      <c r="K4" s="12">
        <v>1</v>
      </c>
      <c r="L4" s="157" t="s">
        <v>6</v>
      </c>
      <c r="M4" s="156"/>
      <c r="N4" s="20">
        <v>2.59</v>
      </c>
    </row>
    <row r="5" spans="2:14" ht="16.5" thickBot="1" x14ac:dyDescent="0.3">
      <c r="B5" s="5"/>
      <c r="C5" s="9"/>
      <c r="D5" s="9"/>
      <c r="E5" s="9"/>
      <c r="F5" s="9"/>
      <c r="G5" s="9"/>
      <c r="H5" s="79"/>
      <c r="I5" s="21"/>
      <c r="J5" s="21"/>
      <c r="K5" s="21"/>
      <c r="L5" s="21"/>
      <c r="M5" s="21"/>
      <c r="N5" s="6"/>
    </row>
    <row r="6" spans="2:14" ht="15.75" x14ac:dyDescent="0.25">
      <c r="B6" s="7" t="s">
        <v>7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77">
        <v>6</v>
      </c>
      <c r="I6" s="160" t="s">
        <v>329</v>
      </c>
      <c r="J6" s="161"/>
      <c r="K6" s="161"/>
      <c r="L6" s="161"/>
      <c r="M6" s="161"/>
      <c r="N6" s="162"/>
    </row>
    <row r="7" spans="2:14" ht="47.25" x14ac:dyDescent="0.25">
      <c r="B7" s="143" t="s">
        <v>10</v>
      </c>
      <c r="C7" s="19">
        <v>60</v>
      </c>
      <c r="D7" s="19">
        <v>58</v>
      </c>
      <c r="E7" s="19">
        <v>55</v>
      </c>
      <c r="F7" s="19">
        <v>57</v>
      </c>
      <c r="G7" s="19">
        <v>55</v>
      </c>
      <c r="H7" s="95">
        <v>53</v>
      </c>
      <c r="I7" s="163"/>
      <c r="J7" s="164"/>
      <c r="K7" s="164"/>
      <c r="L7" s="164"/>
      <c r="M7" s="164"/>
      <c r="N7" s="165"/>
    </row>
    <row r="8" spans="2:14" ht="16.5" thickBot="1" x14ac:dyDescent="0.3">
      <c r="B8" s="94" t="s">
        <v>12</v>
      </c>
      <c r="C8" s="93">
        <v>110</v>
      </c>
      <c r="D8" s="93">
        <v>97</v>
      </c>
      <c r="E8" s="93">
        <v>136</v>
      </c>
      <c r="F8" s="93">
        <v>133</v>
      </c>
      <c r="G8" s="93">
        <v>87</v>
      </c>
      <c r="H8" s="97">
        <v>69</v>
      </c>
      <c r="I8" s="166"/>
      <c r="J8" s="167"/>
      <c r="K8" s="167"/>
      <c r="L8" s="167"/>
      <c r="M8" s="167"/>
      <c r="N8" s="168"/>
    </row>
  </sheetData>
  <mergeCells count="1">
    <mergeCell ref="I6:N8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7"/>
  <sheetViews>
    <sheetView workbookViewId="0">
      <selection activeCell="C8" sqref="C8"/>
    </sheetView>
  </sheetViews>
  <sheetFormatPr defaultColWidth="9.140625" defaultRowHeight="15" x14ac:dyDescent="0.25"/>
  <cols>
    <col min="1" max="2" width="9.140625" style="56"/>
    <col min="3" max="3" width="9.5703125" style="56" bestFit="1" customWidth="1"/>
    <col min="4" max="4" width="10.5703125" style="56" bestFit="1" customWidth="1"/>
    <col min="5" max="5" width="9.140625" style="56"/>
    <col min="6" max="6" width="39.7109375" style="70" customWidth="1"/>
    <col min="7" max="7" width="9.140625" style="56"/>
    <col min="8" max="8" width="81.140625" style="56" customWidth="1"/>
    <col min="9" max="11" width="9.140625" style="56" hidden="1" customWidth="1"/>
    <col min="12" max="16384" width="9.140625" style="56"/>
  </cols>
  <sheetData>
    <row r="1" spans="1:17" ht="72" customHeight="1" x14ac:dyDescent="0.55000000000000004">
      <c r="A1" s="53"/>
      <c r="B1" s="54" t="s">
        <v>34</v>
      </c>
      <c r="C1" s="54" t="s">
        <v>14</v>
      </c>
      <c r="D1" s="54" t="s">
        <v>35</v>
      </c>
      <c r="E1" s="53"/>
      <c r="F1" s="84"/>
      <c r="G1" s="53"/>
      <c r="H1" s="55" t="s">
        <v>36</v>
      </c>
      <c r="I1" s="53"/>
      <c r="J1" s="53"/>
      <c r="K1" s="53"/>
      <c r="L1" s="53"/>
      <c r="M1" s="53"/>
      <c r="N1" s="53"/>
      <c r="O1" s="53"/>
      <c r="P1" s="53"/>
      <c r="Q1" s="53"/>
    </row>
    <row r="2" spans="1:17" ht="32.25" customHeight="1" thickBot="1" x14ac:dyDescent="0.3">
      <c r="A2" s="53"/>
      <c r="B2" s="57">
        <v>1</v>
      </c>
      <c r="C2" s="19">
        <v>60</v>
      </c>
      <c r="D2" s="111">
        <v>110</v>
      </c>
      <c r="E2" s="53"/>
      <c r="F2" s="59" t="s">
        <v>37</v>
      </c>
      <c r="G2" s="53"/>
      <c r="H2" s="60" t="s">
        <v>38</v>
      </c>
      <c r="I2" s="53"/>
      <c r="J2" s="53"/>
      <c r="K2" s="53"/>
      <c r="L2" s="53"/>
      <c r="M2" s="53"/>
      <c r="N2" s="53"/>
      <c r="O2" s="53"/>
      <c r="P2" s="53"/>
      <c r="Q2" s="53"/>
    </row>
    <row r="3" spans="1:17" ht="15" customHeight="1" thickBot="1" x14ac:dyDescent="0.3">
      <c r="A3" s="53"/>
      <c r="B3" s="57">
        <v>2</v>
      </c>
      <c r="C3" s="19">
        <v>58</v>
      </c>
      <c r="D3" s="111">
        <v>97</v>
      </c>
      <c r="E3" s="53"/>
      <c r="F3" s="204" t="str">
        <f>VLOOKUP("zzzz",J11:J15,1,TRUE)</f>
        <v>4.   Decrease CLO federate or change to lower BN oil.</v>
      </c>
      <c r="G3" s="53"/>
      <c r="I3" s="61"/>
      <c r="J3" s="62" t="s">
        <v>39</v>
      </c>
      <c r="K3" s="63"/>
      <c r="L3" s="53"/>
      <c r="M3" s="53"/>
      <c r="N3" s="53"/>
      <c r="O3" s="53"/>
      <c r="P3" s="53"/>
      <c r="Q3" s="53"/>
    </row>
    <row r="4" spans="1:17" ht="16.5" thickBot="1" x14ac:dyDescent="0.3">
      <c r="A4" s="53"/>
      <c r="B4" s="57">
        <v>3</v>
      </c>
      <c r="C4" s="19">
        <v>55</v>
      </c>
      <c r="D4" s="111">
        <v>136</v>
      </c>
      <c r="E4" s="53"/>
      <c r="F4" s="205"/>
      <c r="G4" s="53"/>
      <c r="I4" s="61"/>
      <c r="J4" s="62" t="s">
        <v>14</v>
      </c>
      <c r="K4" s="63" t="s">
        <v>35</v>
      </c>
      <c r="L4" s="53"/>
      <c r="M4" s="53"/>
      <c r="N4" s="53"/>
      <c r="O4" s="53"/>
      <c r="P4" s="53"/>
      <c r="Q4" s="53"/>
    </row>
    <row r="5" spans="1:17" ht="15" customHeight="1" thickBot="1" x14ac:dyDescent="0.3">
      <c r="A5" s="53"/>
      <c r="B5" s="57">
        <v>4</v>
      </c>
      <c r="C5" s="19">
        <v>57</v>
      </c>
      <c r="D5" s="111">
        <v>133</v>
      </c>
      <c r="E5" s="53"/>
      <c r="F5" s="206" t="str">
        <f>VLOOKUP("zzzz",K11:K15,1,TRUE)</f>
        <v>4.   The engine might suffer from increased deposits from unused additives in the lube oil.</v>
      </c>
      <c r="G5" s="53"/>
      <c r="I5" s="61"/>
      <c r="J5" s="64">
        <v>15</v>
      </c>
      <c r="K5" s="65">
        <v>200</v>
      </c>
      <c r="L5" s="53"/>
      <c r="M5" s="53"/>
      <c r="N5" s="53"/>
      <c r="O5" s="53"/>
      <c r="P5" s="53"/>
      <c r="Q5" s="53"/>
    </row>
    <row r="6" spans="1:17" ht="16.5" thickBot="1" x14ac:dyDescent="0.3">
      <c r="A6" s="53"/>
      <c r="B6" s="57">
        <v>5</v>
      </c>
      <c r="C6" s="19">
        <v>55</v>
      </c>
      <c r="D6" s="111">
        <v>87</v>
      </c>
      <c r="E6" s="53"/>
      <c r="F6" s="207"/>
      <c r="G6" s="53"/>
      <c r="I6" s="61"/>
      <c r="J6" s="64">
        <v>45</v>
      </c>
      <c r="K6" s="64"/>
      <c r="L6" s="53"/>
      <c r="M6" s="53"/>
      <c r="N6" s="53"/>
      <c r="O6" s="53"/>
      <c r="P6" s="53"/>
      <c r="Q6" s="53"/>
    </row>
    <row r="7" spans="1:17" ht="16.5" thickBot="1" x14ac:dyDescent="0.3">
      <c r="A7" s="53"/>
      <c r="B7" s="57">
        <v>6</v>
      </c>
      <c r="C7" s="95">
        <v>53</v>
      </c>
      <c r="D7" s="112">
        <v>69</v>
      </c>
      <c r="E7" s="53"/>
      <c r="F7" s="207"/>
      <c r="G7" s="53"/>
      <c r="I7" s="61"/>
      <c r="J7" s="61"/>
      <c r="K7" s="61"/>
      <c r="L7" s="53"/>
      <c r="M7" s="53"/>
      <c r="N7" s="53"/>
      <c r="O7" s="53"/>
      <c r="P7" s="53"/>
      <c r="Q7" s="53"/>
    </row>
    <row r="8" spans="1:17" x14ac:dyDescent="0.25">
      <c r="A8" s="53"/>
      <c r="B8" s="57">
        <v>7</v>
      </c>
      <c r="C8" s="58"/>
      <c r="D8" s="58"/>
      <c r="E8" s="53"/>
      <c r="F8" s="207"/>
      <c r="G8" s="53"/>
      <c r="I8" s="61"/>
      <c r="J8" s="61"/>
      <c r="K8" s="61"/>
      <c r="L8" s="53"/>
      <c r="M8" s="53"/>
      <c r="N8" s="53"/>
      <c r="O8" s="53"/>
      <c r="P8" s="53"/>
      <c r="Q8" s="53"/>
    </row>
    <row r="9" spans="1:17" x14ac:dyDescent="0.25">
      <c r="A9" s="53"/>
      <c r="B9" s="57">
        <v>8</v>
      </c>
      <c r="C9" s="58"/>
      <c r="D9" s="58"/>
      <c r="E9" s="53"/>
      <c r="F9" s="207"/>
      <c r="G9" s="53"/>
      <c r="I9" s="61"/>
      <c r="J9" s="61"/>
      <c r="K9" s="61"/>
      <c r="L9" s="53"/>
      <c r="M9" s="53"/>
      <c r="N9" s="53"/>
      <c r="O9" s="53"/>
      <c r="P9" s="53"/>
      <c r="Q9" s="53"/>
    </row>
    <row r="10" spans="1:17" ht="15" customHeight="1" x14ac:dyDescent="0.25">
      <c r="A10" s="53"/>
      <c r="B10" s="57">
        <v>9</v>
      </c>
      <c r="C10" s="58"/>
      <c r="D10" s="58"/>
      <c r="E10" s="53"/>
      <c r="F10" s="208"/>
      <c r="G10" s="53"/>
      <c r="I10" s="61"/>
      <c r="J10" s="61"/>
      <c r="K10" s="61"/>
      <c r="L10" s="53"/>
      <c r="M10" s="53"/>
      <c r="N10" s="53"/>
      <c r="O10" s="53"/>
      <c r="P10" s="53"/>
      <c r="Q10" s="53"/>
    </row>
    <row r="11" spans="1:17" ht="14.25" customHeight="1" x14ac:dyDescent="0.25">
      <c r="A11" s="53"/>
      <c r="B11" s="57">
        <v>19</v>
      </c>
      <c r="C11" s="58"/>
      <c r="D11" s="58"/>
      <c r="E11" s="53"/>
      <c r="F11" s="209" t="str">
        <f>H44</f>
        <v>More information may be found in the Service Letter SL14-587.</v>
      </c>
      <c r="G11" s="53"/>
      <c r="I11" s="61">
        <v>1</v>
      </c>
      <c r="J11" s="66">
        <f>IF(C14&lt;J5,H34,0)</f>
        <v>0</v>
      </c>
      <c r="K11" s="66">
        <f>IF(C14&lt;J5,H35,0)</f>
        <v>0</v>
      </c>
      <c r="L11" s="53"/>
      <c r="M11" s="53"/>
      <c r="N11" s="53"/>
      <c r="O11" s="53"/>
      <c r="P11" s="53"/>
      <c r="Q11" s="53"/>
    </row>
    <row r="12" spans="1:17" ht="12.75" customHeight="1" x14ac:dyDescent="0.25">
      <c r="A12" s="53"/>
      <c r="B12" s="57">
        <v>11</v>
      </c>
      <c r="C12" s="58"/>
      <c r="D12" s="58"/>
      <c r="E12" s="53"/>
      <c r="F12" s="209"/>
      <c r="G12" s="53"/>
      <c r="I12" s="61">
        <v>2</v>
      </c>
      <c r="J12" s="66">
        <f>IF(AND(C14&gt;=J6,D14&gt;=K5),H36,0)</f>
        <v>0</v>
      </c>
      <c r="K12" s="66">
        <f>IF(AND(C14&gt;=J6,D14&gt;=K5),H37,0)</f>
        <v>0</v>
      </c>
      <c r="L12" s="53"/>
      <c r="M12" s="53"/>
      <c r="N12" s="53"/>
      <c r="O12" s="53"/>
      <c r="P12" s="53"/>
      <c r="Q12" s="53"/>
    </row>
    <row r="13" spans="1:17" ht="15.75" customHeight="1" x14ac:dyDescent="0.25">
      <c r="A13" s="53"/>
      <c r="B13" s="57">
        <v>12</v>
      </c>
      <c r="C13" s="58"/>
      <c r="D13" s="58"/>
      <c r="E13" s="53"/>
      <c r="F13" s="84"/>
      <c r="G13" s="53"/>
      <c r="I13" s="61">
        <v>4</v>
      </c>
      <c r="J13" s="66" t="str">
        <f>IF(AND(C14&gt;=J6,D14&lt;=K5),H40,0)</f>
        <v>4.   Decrease CLO federate or change to lower BN oil.</v>
      </c>
      <c r="K13" s="66" t="str">
        <f>IF(AND(C14&gt;=J6,D14&lt;=K5),H41,0)</f>
        <v>4.   The engine might suffer from increased deposits from unused additives in the lube oil.</v>
      </c>
      <c r="L13" s="53"/>
      <c r="M13" s="53"/>
      <c r="N13" s="53"/>
      <c r="O13" s="53"/>
      <c r="P13" s="53"/>
      <c r="Q13" s="53"/>
    </row>
    <row r="14" spans="1:17" ht="135" x14ac:dyDescent="0.25">
      <c r="A14" s="53"/>
      <c r="B14" s="57" t="s">
        <v>40</v>
      </c>
      <c r="C14" s="67">
        <f>AVERAGE(C2:C13)</f>
        <v>56.333333333333336</v>
      </c>
      <c r="D14" s="67">
        <f>AVERAGE(D2:D13)</f>
        <v>105.33333333333333</v>
      </c>
      <c r="E14" s="53"/>
      <c r="F14" s="84"/>
      <c r="G14" s="53"/>
      <c r="I14" s="61">
        <v>5</v>
      </c>
      <c r="J14" s="66">
        <f>IF(AND(J5&lt;=C14,C14&lt;=J6,D14&lt;=K5),H42,0)</f>
        <v>0</v>
      </c>
      <c r="K14" s="66">
        <f>IF(AND(J5&lt;=C14,C14&lt;=J6,D14&lt;=K5),H43,0)</f>
        <v>0</v>
      </c>
      <c r="L14" s="53"/>
      <c r="M14" s="53"/>
      <c r="N14" s="53"/>
      <c r="O14" s="53"/>
      <c r="P14" s="53"/>
      <c r="Q14" s="53"/>
    </row>
    <row r="15" spans="1:17" ht="13.5" customHeight="1" x14ac:dyDescent="0.25">
      <c r="A15" s="53"/>
      <c r="B15" s="53"/>
      <c r="C15" s="53"/>
      <c r="D15" s="210">
        <f>IF(D14&gt;=800,J19, )</f>
        <v>0</v>
      </c>
      <c r="E15" s="210"/>
      <c r="F15" s="84"/>
      <c r="G15" s="53"/>
      <c r="I15" s="61">
        <v>3</v>
      </c>
      <c r="J15" s="66">
        <f>IF(AND(J6&gt;=C14,C14&gt;=J5,D14&gt;=K5),H38,0)</f>
        <v>0</v>
      </c>
      <c r="K15" s="66">
        <f>IF(AND(J6&gt;=C14,C14&gt;=J5,D14&gt;=K5),H39,0)</f>
        <v>0</v>
      </c>
      <c r="L15" s="53"/>
      <c r="M15" s="53"/>
      <c r="N15" s="53"/>
      <c r="O15" s="53"/>
      <c r="P15" s="53"/>
      <c r="Q15" s="53"/>
    </row>
    <row r="16" spans="1:17" x14ac:dyDescent="0.25">
      <c r="A16" s="53"/>
      <c r="B16" s="53"/>
      <c r="C16" s="53"/>
      <c r="D16" s="210"/>
      <c r="E16" s="210"/>
      <c r="F16" s="84"/>
      <c r="G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x14ac:dyDescent="0.25">
      <c r="A17" s="53"/>
      <c r="B17" s="53"/>
      <c r="C17" s="53"/>
      <c r="D17" s="210"/>
      <c r="E17" s="210"/>
      <c r="F17" s="84"/>
      <c r="G17" s="53"/>
      <c r="I17" s="53"/>
      <c r="J17" s="53"/>
      <c r="K17" s="53"/>
      <c r="L17" s="53"/>
      <c r="M17" s="53"/>
      <c r="N17" s="53"/>
      <c r="O17" s="53"/>
      <c r="P17" s="53"/>
      <c r="Q17" s="53"/>
    </row>
    <row r="18" spans="1:17" x14ac:dyDescent="0.25">
      <c r="A18" s="53"/>
      <c r="B18" s="53"/>
      <c r="C18" s="53"/>
      <c r="D18" s="53"/>
      <c r="E18" s="53"/>
      <c r="F18" s="84"/>
      <c r="G18" s="53"/>
      <c r="I18" s="53"/>
      <c r="J18" s="61" t="s">
        <v>41</v>
      </c>
      <c r="K18" s="53"/>
      <c r="L18" s="53"/>
      <c r="M18" s="53"/>
      <c r="N18" s="53"/>
      <c r="O18" s="53"/>
      <c r="P18" s="53"/>
      <c r="Q18" s="53"/>
    </row>
    <row r="19" spans="1:17" x14ac:dyDescent="0.25">
      <c r="A19" s="53"/>
      <c r="B19" s="53"/>
      <c r="C19" s="53"/>
      <c r="D19" s="53"/>
      <c r="E19" s="53"/>
      <c r="F19" s="84"/>
      <c r="G19" s="53"/>
      <c r="I19" s="53"/>
      <c r="J19" s="61" t="s">
        <v>42</v>
      </c>
      <c r="K19" s="53"/>
      <c r="L19" s="53"/>
      <c r="M19" s="53"/>
      <c r="N19" s="53"/>
      <c r="O19" s="53"/>
      <c r="P19" s="53"/>
      <c r="Q19" s="53"/>
    </row>
    <row r="20" spans="1:17" x14ac:dyDescent="0.25">
      <c r="A20" s="53"/>
      <c r="B20" s="53"/>
      <c r="C20" s="53"/>
      <c r="D20" s="53"/>
      <c r="E20" s="53"/>
      <c r="F20" s="84"/>
      <c r="G20" s="53"/>
      <c r="I20" s="53"/>
      <c r="J20" s="53"/>
      <c r="K20" s="53"/>
      <c r="L20" s="53"/>
      <c r="M20" s="53"/>
      <c r="N20" s="53"/>
      <c r="O20" s="53"/>
      <c r="P20" s="53"/>
      <c r="Q20" s="53"/>
    </row>
    <row r="21" spans="1:17" x14ac:dyDescent="0.25">
      <c r="A21" s="53"/>
      <c r="B21" s="53"/>
      <c r="C21" s="53"/>
      <c r="D21" s="53"/>
      <c r="E21" s="53"/>
      <c r="F21" s="84"/>
      <c r="G21" s="53"/>
      <c r="I21" s="53"/>
      <c r="J21" s="53"/>
      <c r="K21" s="53"/>
      <c r="L21" s="53"/>
      <c r="M21" s="53"/>
      <c r="N21" s="53"/>
      <c r="O21" s="53"/>
      <c r="P21" s="53"/>
      <c r="Q21" s="53"/>
    </row>
    <row r="22" spans="1:17" x14ac:dyDescent="0.25">
      <c r="A22" s="53"/>
      <c r="B22" s="53"/>
      <c r="C22" s="53"/>
      <c r="D22" s="53"/>
      <c r="E22" s="53"/>
      <c r="F22" s="84"/>
      <c r="G22" s="53"/>
      <c r="I22" s="53"/>
      <c r="J22" s="53"/>
      <c r="K22" s="53"/>
      <c r="L22" s="53"/>
      <c r="M22" s="53"/>
      <c r="N22" s="53"/>
      <c r="O22" s="53"/>
      <c r="P22" s="53"/>
      <c r="Q22" s="53"/>
    </row>
    <row r="23" spans="1:17" x14ac:dyDescent="0.25">
      <c r="A23" s="53"/>
      <c r="B23" s="53"/>
      <c r="C23" s="53"/>
      <c r="D23" s="53"/>
      <c r="E23" s="53"/>
      <c r="F23" s="84"/>
      <c r="G23" s="53"/>
      <c r="I23" s="53"/>
      <c r="J23" s="53"/>
      <c r="K23" s="53"/>
      <c r="L23" s="53"/>
      <c r="M23" s="53"/>
      <c r="N23" s="53"/>
      <c r="O23" s="53"/>
      <c r="P23" s="53"/>
      <c r="Q23" s="53"/>
    </row>
    <row r="24" spans="1:17" x14ac:dyDescent="0.25">
      <c r="A24" s="53"/>
      <c r="B24" s="53"/>
      <c r="C24" s="53"/>
      <c r="D24" s="53"/>
      <c r="E24" s="53"/>
      <c r="F24" s="84"/>
      <c r="G24" s="53"/>
      <c r="I24" s="53"/>
      <c r="J24" s="53"/>
      <c r="K24" s="53"/>
      <c r="L24" s="53"/>
      <c r="M24" s="53"/>
      <c r="N24" s="53"/>
      <c r="O24" s="53"/>
      <c r="P24" s="53"/>
      <c r="Q24" s="53"/>
    </row>
    <row r="25" spans="1:17" x14ac:dyDescent="0.25">
      <c r="A25" s="53"/>
      <c r="B25" s="53"/>
      <c r="C25" s="53"/>
      <c r="D25" s="53"/>
      <c r="E25" s="53"/>
      <c r="F25" s="84"/>
      <c r="G25" s="53"/>
      <c r="I25" s="53"/>
      <c r="J25" s="53"/>
      <c r="K25" s="53"/>
      <c r="L25" s="53"/>
      <c r="M25" s="53"/>
      <c r="N25" s="53"/>
      <c r="O25" s="53"/>
      <c r="P25" s="53"/>
      <c r="Q25" s="53"/>
    </row>
    <row r="26" spans="1:17" x14ac:dyDescent="0.25">
      <c r="A26" s="53"/>
      <c r="B26" s="53"/>
      <c r="C26" s="53"/>
      <c r="D26" s="53"/>
      <c r="E26" s="53"/>
      <c r="F26" s="84"/>
      <c r="G26" s="53"/>
      <c r="I26" s="53"/>
      <c r="J26" s="53"/>
      <c r="K26" s="53"/>
      <c r="L26" s="53"/>
      <c r="M26" s="53"/>
      <c r="N26" s="53"/>
      <c r="O26" s="53"/>
      <c r="P26" s="53"/>
      <c r="Q26" s="53"/>
    </row>
    <row r="27" spans="1:17" x14ac:dyDescent="0.25">
      <c r="A27" s="53"/>
      <c r="B27" s="53"/>
      <c r="C27" s="53"/>
      <c r="D27" s="53"/>
      <c r="E27" s="53"/>
      <c r="F27" s="84"/>
      <c r="G27" s="53"/>
      <c r="I27" s="53"/>
      <c r="J27" s="53"/>
      <c r="K27" s="53"/>
      <c r="L27" s="53"/>
      <c r="M27" s="53"/>
      <c r="N27" s="53"/>
      <c r="O27" s="53"/>
      <c r="P27" s="53"/>
      <c r="Q27" s="53"/>
    </row>
    <row r="28" spans="1:17" ht="17.25" customHeight="1" x14ac:dyDescent="0.25">
      <c r="A28" s="53"/>
      <c r="B28" s="53"/>
      <c r="C28" s="53"/>
      <c r="D28" s="53"/>
      <c r="E28" s="53"/>
      <c r="F28" s="84"/>
      <c r="G28" s="53"/>
      <c r="I28" s="53"/>
      <c r="J28" s="53"/>
      <c r="K28" s="53"/>
      <c r="L28" s="53"/>
      <c r="M28" s="53"/>
      <c r="N28" s="53"/>
      <c r="O28" s="53"/>
      <c r="P28" s="53"/>
      <c r="Q28" s="53"/>
    </row>
    <row r="29" spans="1:17" x14ac:dyDescent="0.25">
      <c r="A29" s="53"/>
      <c r="B29" s="53"/>
      <c r="C29" s="53"/>
      <c r="D29" s="53"/>
      <c r="E29" s="53"/>
      <c r="F29" s="84"/>
      <c r="G29" s="53"/>
      <c r="I29" s="53"/>
      <c r="J29" s="53"/>
      <c r="K29" s="53"/>
      <c r="L29" s="53"/>
      <c r="M29" s="53"/>
      <c r="N29" s="53"/>
      <c r="O29" s="53"/>
      <c r="P29" s="53"/>
      <c r="Q29" s="53"/>
    </row>
    <row r="30" spans="1:17" x14ac:dyDescent="0.25">
      <c r="A30" s="53"/>
      <c r="B30" s="53"/>
      <c r="C30" s="53"/>
      <c r="D30" s="53"/>
      <c r="E30" s="53"/>
      <c r="F30" s="84"/>
      <c r="G30" s="53"/>
      <c r="I30" s="53"/>
      <c r="J30" s="53"/>
      <c r="K30" s="53"/>
      <c r="L30" s="53"/>
      <c r="M30" s="53"/>
      <c r="N30" s="53"/>
      <c r="O30" s="53"/>
      <c r="P30" s="53"/>
      <c r="Q30" s="53"/>
    </row>
    <row r="31" spans="1:17" x14ac:dyDescent="0.25">
      <c r="A31" s="53"/>
      <c r="B31" s="53"/>
      <c r="C31" s="53"/>
      <c r="D31" s="53"/>
      <c r="E31" s="53"/>
      <c r="F31" s="84"/>
      <c r="G31" s="53"/>
      <c r="H31" s="68" t="s">
        <v>43</v>
      </c>
      <c r="I31" s="53"/>
      <c r="J31" s="53"/>
      <c r="K31" s="53"/>
      <c r="L31" s="53"/>
      <c r="M31" s="53"/>
      <c r="N31" s="53"/>
      <c r="O31" s="53"/>
      <c r="P31" s="53"/>
      <c r="Q31" s="53"/>
    </row>
    <row r="32" spans="1:17" x14ac:dyDescent="0.25">
      <c r="A32" s="53"/>
      <c r="B32" s="53"/>
      <c r="C32" s="53"/>
      <c r="D32" s="53"/>
      <c r="E32" s="53"/>
      <c r="F32" s="84"/>
      <c r="G32" s="53"/>
      <c r="I32" s="53"/>
      <c r="J32" s="53"/>
      <c r="K32" s="53"/>
      <c r="L32" s="53"/>
      <c r="M32" s="53"/>
      <c r="N32" s="53"/>
      <c r="O32" s="53"/>
      <c r="P32" s="53"/>
      <c r="Q32" s="53"/>
    </row>
    <row r="33" spans="1:17" ht="15.75" x14ac:dyDescent="0.25">
      <c r="A33" s="53"/>
      <c r="B33" s="53"/>
      <c r="C33" s="53"/>
      <c r="D33" s="53"/>
      <c r="E33" s="53"/>
      <c r="F33" s="84"/>
      <c r="G33" s="53"/>
      <c r="H33" s="69" t="s">
        <v>44</v>
      </c>
      <c r="I33" s="53"/>
      <c r="J33" s="53"/>
      <c r="K33" s="53"/>
      <c r="L33" s="53"/>
      <c r="M33" s="53"/>
      <c r="N33" s="53"/>
      <c r="O33" s="53"/>
      <c r="P33" s="53"/>
      <c r="Q33" s="53"/>
    </row>
    <row r="34" spans="1:17" ht="14.25" customHeight="1" x14ac:dyDescent="0.25">
      <c r="A34" s="53"/>
      <c r="B34" s="53"/>
      <c r="C34" s="53"/>
      <c r="D34" s="53"/>
      <c r="E34" s="53"/>
      <c r="F34" s="84"/>
      <c r="G34" s="53"/>
      <c r="H34" s="70" t="s">
        <v>45</v>
      </c>
      <c r="I34" s="53"/>
      <c r="J34" s="53"/>
      <c r="K34" s="53"/>
      <c r="L34" s="53"/>
      <c r="M34" s="53"/>
      <c r="N34" s="53"/>
      <c r="O34" s="53"/>
      <c r="P34" s="53"/>
      <c r="Q34" s="53"/>
    </row>
    <row r="35" spans="1:17" x14ac:dyDescent="0.25">
      <c r="A35" s="53"/>
      <c r="B35" s="53"/>
      <c r="C35" s="53"/>
      <c r="D35" s="53"/>
      <c r="E35" s="53"/>
      <c r="F35" s="84"/>
      <c r="G35" s="53"/>
      <c r="H35" s="56" t="s">
        <v>46</v>
      </c>
      <c r="I35" s="53"/>
      <c r="J35" s="53"/>
      <c r="K35" s="53"/>
      <c r="L35" s="53"/>
      <c r="M35" s="53"/>
      <c r="N35" s="53"/>
      <c r="O35" s="53"/>
      <c r="P35" s="53"/>
      <c r="Q35" s="53"/>
    </row>
    <row r="36" spans="1:17" x14ac:dyDescent="0.25">
      <c r="A36" s="53"/>
      <c r="B36" s="53"/>
      <c r="C36" s="53"/>
      <c r="D36" s="53"/>
      <c r="E36" s="53"/>
      <c r="F36" s="84"/>
      <c r="G36" s="53"/>
      <c r="H36" s="70" t="s">
        <v>47</v>
      </c>
      <c r="I36" s="53"/>
      <c r="J36" s="53"/>
      <c r="K36" s="53"/>
      <c r="L36" s="53"/>
      <c r="M36" s="53"/>
      <c r="N36" s="53"/>
      <c r="O36" s="53"/>
      <c r="P36" s="53"/>
      <c r="Q36" s="53"/>
    </row>
    <row r="37" spans="1:17" ht="45" x14ac:dyDescent="0.25">
      <c r="A37" s="53"/>
      <c r="B37" s="53"/>
      <c r="C37" s="53"/>
      <c r="D37" s="53"/>
      <c r="E37" s="53"/>
      <c r="F37" s="84"/>
      <c r="G37" s="53"/>
      <c r="H37" s="70" t="s">
        <v>48</v>
      </c>
      <c r="I37" s="53"/>
      <c r="J37" s="53"/>
      <c r="K37" s="53"/>
      <c r="L37" s="53"/>
      <c r="M37" s="53"/>
      <c r="N37" s="53"/>
      <c r="O37" s="53"/>
      <c r="P37" s="53"/>
      <c r="Q37" s="53"/>
    </row>
    <row r="38" spans="1:17" x14ac:dyDescent="0.25">
      <c r="A38" s="53"/>
      <c r="B38" s="53"/>
      <c r="C38" s="53"/>
      <c r="D38" s="53"/>
      <c r="E38" s="53"/>
      <c r="F38" s="84"/>
      <c r="G38" s="53"/>
      <c r="H38" s="70" t="s">
        <v>49</v>
      </c>
      <c r="I38" s="53"/>
      <c r="J38" s="53"/>
      <c r="K38" s="53"/>
      <c r="L38" s="53"/>
      <c r="M38" s="53"/>
      <c r="N38" s="53"/>
      <c r="O38" s="53"/>
      <c r="P38" s="53"/>
      <c r="Q38" s="53"/>
    </row>
    <row r="39" spans="1:17" x14ac:dyDescent="0.25">
      <c r="A39" s="53"/>
      <c r="B39" s="53"/>
      <c r="C39" s="53"/>
      <c r="D39" s="53"/>
      <c r="E39" s="53"/>
      <c r="F39" s="84"/>
      <c r="G39" s="53"/>
      <c r="H39" s="56" t="s">
        <v>50</v>
      </c>
      <c r="I39" s="53"/>
      <c r="J39" s="53"/>
      <c r="K39" s="53"/>
      <c r="L39" s="53"/>
      <c r="M39" s="53"/>
      <c r="N39" s="53"/>
      <c r="O39" s="53"/>
      <c r="P39" s="53"/>
      <c r="Q39" s="53"/>
    </row>
    <row r="40" spans="1:17" x14ac:dyDescent="0.25">
      <c r="A40" s="53"/>
      <c r="B40" s="53"/>
      <c r="C40" s="53"/>
      <c r="D40" s="53"/>
      <c r="E40" s="53"/>
      <c r="F40" s="84"/>
      <c r="G40" s="53"/>
      <c r="H40" s="70" t="s">
        <v>51</v>
      </c>
      <c r="I40" s="53"/>
      <c r="J40" s="53"/>
      <c r="K40" s="53"/>
      <c r="L40" s="53"/>
      <c r="M40" s="53"/>
      <c r="N40" s="53"/>
      <c r="O40" s="53"/>
      <c r="P40" s="53"/>
      <c r="Q40" s="53"/>
    </row>
    <row r="41" spans="1:17" x14ac:dyDescent="0.25">
      <c r="A41" s="53"/>
      <c r="B41" s="53"/>
      <c r="C41" s="53"/>
      <c r="D41" s="53"/>
      <c r="E41" s="53"/>
      <c r="F41" s="84"/>
      <c r="G41" s="53"/>
      <c r="H41" s="56" t="s">
        <v>52</v>
      </c>
      <c r="I41" s="53"/>
      <c r="J41" s="53"/>
      <c r="K41" s="53"/>
      <c r="L41" s="53"/>
      <c r="M41" s="53"/>
      <c r="N41" s="53"/>
      <c r="O41" s="53"/>
      <c r="P41" s="53"/>
      <c r="Q41" s="53"/>
    </row>
    <row r="42" spans="1:17" x14ac:dyDescent="0.25">
      <c r="A42" s="53"/>
      <c r="B42" s="53"/>
      <c r="C42" s="53"/>
      <c r="D42" s="53"/>
      <c r="E42" s="53"/>
      <c r="F42" s="84"/>
      <c r="G42" s="53"/>
      <c r="H42" s="70" t="s">
        <v>53</v>
      </c>
      <c r="I42" s="53"/>
      <c r="J42" s="53"/>
      <c r="K42" s="53"/>
      <c r="L42" s="53"/>
      <c r="M42" s="53"/>
      <c r="N42" s="53"/>
      <c r="O42" s="53"/>
      <c r="P42" s="53"/>
      <c r="Q42" s="53"/>
    </row>
    <row r="43" spans="1:17" x14ac:dyDescent="0.25">
      <c r="A43" s="53"/>
      <c r="B43" s="53"/>
      <c r="C43" s="53"/>
      <c r="D43" s="53"/>
      <c r="E43" s="53"/>
      <c r="F43" s="84"/>
      <c r="G43" s="53"/>
      <c r="H43" s="56" t="s">
        <v>54</v>
      </c>
      <c r="I43" s="53"/>
      <c r="J43" s="53"/>
      <c r="K43" s="53"/>
      <c r="L43" s="53"/>
      <c r="M43" s="53"/>
      <c r="N43" s="53"/>
      <c r="O43" s="53"/>
      <c r="P43" s="53"/>
      <c r="Q43" s="53"/>
    </row>
    <row r="44" spans="1:17" ht="15.75" x14ac:dyDescent="0.25">
      <c r="A44" s="53"/>
      <c r="B44" s="53"/>
      <c r="C44" s="53"/>
      <c r="D44" s="53"/>
      <c r="E44" s="53"/>
      <c r="F44" s="84"/>
      <c r="G44" s="53"/>
      <c r="H44" s="71" t="s">
        <v>55</v>
      </c>
      <c r="I44" s="53"/>
      <c r="J44" s="53"/>
      <c r="K44" s="53"/>
      <c r="L44" s="53"/>
      <c r="M44" s="53"/>
      <c r="N44" s="53"/>
      <c r="O44" s="53"/>
      <c r="P44" s="53"/>
      <c r="Q44" s="53"/>
    </row>
    <row r="45" spans="1:17" x14ac:dyDescent="0.25">
      <c r="A45" s="53"/>
      <c r="B45" s="53"/>
      <c r="C45" s="53"/>
      <c r="D45" s="53"/>
      <c r="E45" s="53"/>
      <c r="F45" s="84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</row>
    <row r="46" spans="1:17" x14ac:dyDescent="0.25">
      <c r="A46" s="53"/>
      <c r="B46" s="53"/>
      <c r="C46" s="53"/>
      <c r="D46" s="53"/>
      <c r="E46" s="53"/>
      <c r="F46" s="84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</row>
    <row r="47" spans="1:17" x14ac:dyDescent="0.25">
      <c r="A47" s="53"/>
      <c r="B47" s="53"/>
      <c r="C47" s="53"/>
      <c r="D47" s="53"/>
      <c r="E47" s="53"/>
      <c r="F47" s="84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</row>
  </sheetData>
  <sheetProtection password="C9BB" sheet="1" objects="1" scenarios="1" selectLockedCells="1"/>
  <mergeCells count="4">
    <mergeCell ref="F3:F4"/>
    <mergeCell ref="F5:F10"/>
    <mergeCell ref="F11:F12"/>
    <mergeCell ref="D15:E17"/>
  </mergeCells>
  <conditionalFormatting sqref="C2:C14">
    <cfRule type="containsBlanks" dxfId="15" priority="1">
      <formula>LEN(TRIM(C2))=0</formula>
    </cfRule>
    <cfRule type="cellIs" dxfId="14" priority="2" operator="greaterThanOrEqual">
      <formula>45</formula>
    </cfRule>
    <cfRule type="cellIs" dxfId="13" priority="3" operator="between">
      <formula>0</formula>
      <formula>10</formula>
    </cfRule>
    <cfRule type="cellIs" dxfId="12" priority="4" operator="between">
      <formula>10</formula>
      <formula>15</formula>
    </cfRule>
    <cfRule type="cellIs" dxfId="11" priority="5" operator="between">
      <formula>15</formula>
      <formula>45</formula>
    </cfRule>
  </conditionalFormatting>
  <conditionalFormatting sqref="D2:D14">
    <cfRule type="containsBlanks" dxfId="10" priority="6">
      <formula>LEN(TRIM(D2))=0</formula>
    </cfRule>
    <cfRule type="cellIs" dxfId="9" priority="7" operator="greaterThan">
      <formula>800</formula>
    </cfRule>
    <cfRule type="cellIs" dxfId="8" priority="8" operator="between">
      <formula>300</formula>
      <formula>800</formula>
    </cfRule>
    <cfRule type="cellIs" dxfId="7" priority="9" operator="between">
      <formula>200</formula>
      <formula>300</formula>
    </cfRule>
    <cfRule type="cellIs" dxfId="6" priority="10" operator="between">
      <formula>0</formula>
      <formula>200</formula>
    </cfRule>
  </conditionalFormatting>
  <conditionalFormatting sqref="D15">
    <cfRule type="containsText" dxfId="5" priority="28" operator="containsText" text="This">
      <formula>NOT(ISERROR(SEARCH("This",D15)))</formula>
    </cfRule>
  </conditionalFormatting>
  <conditionalFormatting sqref="F3:F6">
    <cfRule type="containsText" dxfId="4" priority="22" operator="containsText" text="5.">
      <formula>NOT(ISERROR(SEARCH("5.",F3)))</formula>
    </cfRule>
    <cfRule type="containsText" dxfId="3" priority="23" operator="containsText" text="4.">
      <formula>NOT(ISERROR(SEARCH("4.",F3)))</formula>
    </cfRule>
    <cfRule type="containsText" dxfId="2" priority="24" operator="containsText" text="3.">
      <formula>NOT(ISERROR(SEARCH("3.",F3)))</formula>
    </cfRule>
    <cfRule type="containsText" dxfId="1" priority="25" operator="containsText" text="2.">
      <formula>NOT(ISERROR(SEARCH("2.",F3)))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69F540A3-0DA9-4694-A20C-9E8DE28A41B6}">
            <xm:f>NOT(ISERROR(SEARCH("1.",F3)))</xm:f>
            <xm:f>"1."</xm:f>
            <x14:dxf>
              <fill>
                <patternFill>
                  <bgColor rgb="FFFF0000"/>
                </patternFill>
              </fill>
            </x14:dxf>
          </x14:cfRule>
          <xm:sqref>F3:F6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7"/>
  <sheetViews>
    <sheetView workbookViewId="0">
      <selection activeCell="D11" sqref="D11"/>
    </sheetView>
  </sheetViews>
  <sheetFormatPr defaultColWidth="9.140625" defaultRowHeight="12.75" x14ac:dyDescent="0.2"/>
  <cols>
    <col min="1" max="1" width="9.140625" style="26"/>
    <col min="2" max="2" width="11.140625" style="26" customWidth="1"/>
    <col min="3" max="3" width="9.140625" style="26"/>
    <col min="4" max="4" width="11.28515625" style="26" customWidth="1"/>
    <col min="5" max="5" width="9.85546875" style="26" customWidth="1"/>
    <col min="6" max="6" width="12.28515625" style="26" customWidth="1"/>
    <col min="7" max="9" width="9.140625" style="26"/>
    <col min="10" max="10" width="31" style="26" customWidth="1"/>
    <col min="11" max="11" width="19.42578125" style="26" customWidth="1"/>
    <col min="12" max="12" width="17.140625" style="26" customWidth="1"/>
    <col min="13" max="14" width="20" style="26" customWidth="1"/>
    <col min="15" max="15" width="44.28515625" style="26" customWidth="1"/>
    <col min="16" max="16" width="38.85546875" style="26" customWidth="1"/>
    <col min="17" max="16384" width="9.140625" style="26"/>
  </cols>
  <sheetData>
    <row r="1" spans="1:16" ht="15.75" x14ac:dyDescent="0.25">
      <c r="A1" s="212" t="s">
        <v>15</v>
      </c>
      <c r="B1" s="213"/>
      <c r="C1" s="213"/>
      <c r="D1" s="213"/>
      <c r="E1" s="213"/>
      <c r="F1" s="213"/>
      <c r="G1" s="213"/>
      <c r="H1" s="214"/>
      <c r="I1" s="27"/>
      <c r="J1" s="27"/>
      <c r="K1" s="27"/>
      <c r="L1" s="27"/>
      <c r="M1" s="27"/>
      <c r="N1" s="27"/>
      <c r="O1" s="27"/>
      <c r="P1" s="27"/>
    </row>
    <row r="2" spans="1:16" ht="15.75" x14ac:dyDescent="0.25">
      <c r="A2" s="28"/>
      <c r="B2" s="29"/>
      <c r="C2" s="29"/>
      <c r="D2" s="29"/>
      <c r="E2" s="29"/>
      <c r="F2" s="30"/>
      <c r="G2" s="29"/>
      <c r="H2" s="31"/>
      <c r="I2" s="27"/>
      <c r="J2" s="27"/>
      <c r="K2" s="27"/>
      <c r="L2" s="27"/>
      <c r="M2" s="27"/>
      <c r="N2" s="27"/>
      <c r="O2" s="27"/>
      <c r="P2" s="27"/>
    </row>
    <row r="3" spans="1:16" x14ac:dyDescent="0.2">
      <c r="A3" s="32"/>
      <c r="B3" s="33"/>
      <c r="C3" s="33"/>
      <c r="D3" s="33"/>
      <c r="E3" s="33"/>
      <c r="F3" s="34" t="s">
        <v>16</v>
      </c>
      <c r="G3" s="33"/>
      <c r="H3" s="35"/>
      <c r="I3" s="27"/>
      <c r="J3" s="27"/>
      <c r="K3" s="27"/>
      <c r="L3" s="27"/>
      <c r="M3" s="27"/>
      <c r="N3" s="27"/>
      <c r="O3" s="27"/>
      <c r="P3" s="27"/>
    </row>
    <row r="4" spans="1:16" x14ac:dyDescent="0.2">
      <c r="A4" s="32"/>
      <c r="B4" s="215" t="s">
        <v>17</v>
      </c>
      <c r="C4" s="216"/>
      <c r="D4" s="217"/>
      <c r="E4" s="33"/>
      <c r="F4" s="36">
        <v>0.6</v>
      </c>
      <c r="G4" s="37" t="s">
        <v>18</v>
      </c>
      <c r="H4" s="35"/>
      <c r="I4" s="27"/>
      <c r="J4" s="27"/>
      <c r="K4" s="27"/>
      <c r="L4" s="27"/>
      <c r="M4" s="27"/>
      <c r="N4" s="27"/>
      <c r="O4" s="27"/>
      <c r="P4" s="27"/>
    </row>
    <row r="5" spans="1:16" x14ac:dyDescent="0.2">
      <c r="A5" s="32"/>
      <c r="B5" s="38" t="s">
        <v>19</v>
      </c>
      <c r="C5" s="33"/>
      <c r="D5" s="38" t="s">
        <v>20</v>
      </c>
      <c r="E5" s="33"/>
      <c r="F5" s="33"/>
      <c r="G5" s="33"/>
      <c r="H5" s="35"/>
      <c r="I5" s="27"/>
      <c r="J5" s="27"/>
      <c r="K5" s="27"/>
      <c r="L5" s="27"/>
      <c r="M5" s="27"/>
      <c r="N5" s="27"/>
      <c r="O5" s="27"/>
      <c r="P5" s="27"/>
    </row>
    <row r="6" spans="1:16" x14ac:dyDescent="0.2">
      <c r="A6" s="32"/>
      <c r="B6" s="39">
        <v>40</v>
      </c>
      <c r="C6" s="37" t="s">
        <v>14</v>
      </c>
      <c r="D6" s="39">
        <v>140</v>
      </c>
      <c r="E6" s="37" t="s">
        <v>14</v>
      </c>
      <c r="F6" s="33" t="s">
        <v>21</v>
      </c>
      <c r="G6" s="33"/>
      <c r="H6" s="35"/>
      <c r="I6" s="27"/>
      <c r="J6" s="27"/>
      <c r="K6" s="27"/>
      <c r="L6" s="27"/>
      <c r="M6" s="27"/>
      <c r="N6" s="27"/>
      <c r="O6" s="27"/>
      <c r="P6" s="27"/>
    </row>
    <row r="7" spans="1:16" x14ac:dyDescent="0.2">
      <c r="A7" s="32"/>
      <c r="B7" s="33"/>
      <c r="C7" s="33"/>
      <c r="D7" s="33"/>
      <c r="E7" s="33"/>
      <c r="F7" s="33"/>
      <c r="G7" s="33"/>
      <c r="H7" s="35"/>
      <c r="I7" s="27"/>
      <c r="J7" s="27"/>
      <c r="K7" s="27"/>
      <c r="L7" s="27"/>
      <c r="M7" s="27"/>
      <c r="N7" s="27"/>
      <c r="O7" s="27"/>
      <c r="P7" s="27"/>
    </row>
    <row r="8" spans="1:16" x14ac:dyDescent="0.2">
      <c r="A8" s="32"/>
      <c r="B8" s="33"/>
      <c r="C8" s="33"/>
      <c r="D8" s="33"/>
      <c r="E8" s="33"/>
      <c r="F8" s="33"/>
      <c r="G8" s="33"/>
      <c r="H8" s="35"/>
      <c r="I8" s="27"/>
      <c r="J8" s="27"/>
      <c r="K8" s="27"/>
      <c r="L8" s="27"/>
      <c r="M8" s="27"/>
      <c r="N8" s="27"/>
      <c r="O8" s="27"/>
      <c r="P8" s="27"/>
    </row>
    <row r="9" spans="1:16" ht="27" customHeight="1" x14ac:dyDescent="0.2">
      <c r="A9" s="32"/>
      <c r="B9" s="218" t="s">
        <v>22</v>
      </c>
      <c r="C9" s="218"/>
      <c r="D9" s="218"/>
      <c r="E9" s="33"/>
      <c r="F9" s="33"/>
      <c r="G9" s="33"/>
      <c r="H9" s="35"/>
      <c r="I9" s="27"/>
      <c r="J9" s="27"/>
      <c r="K9" s="27"/>
      <c r="L9" s="27"/>
      <c r="M9" s="27"/>
      <c r="N9" s="27"/>
      <c r="O9" s="27"/>
      <c r="P9" s="27"/>
    </row>
    <row r="10" spans="1:16" x14ac:dyDescent="0.2">
      <c r="A10" s="32"/>
      <c r="B10" s="36" t="s">
        <v>23</v>
      </c>
      <c r="C10" s="33"/>
      <c r="D10" s="36" t="s">
        <v>24</v>
      </c>
      <c r="E10" s="33"/>
      <c r="F10" s="33"/>
      <c r="G10" s="33"/>
      <c r="H10" s="35"/>
      <c r="I10" s="27"/>
      <c r="J10" s="27"/>
      <c r="K10" s="27"/>
      <c r="L10" s="27"/>
      <c r="M10" s="27"/>
      <c r="N10" s="27"/>
      <c r="O10" s="27"/>
      <c r="P10" s="27"/>
    </row>
    <row r="11" spans="1:16" x14ac:dyDescent="0.2">
      <c r="A11" s="32"/>
      <c r="B11" s="39">
        <v>140</v>
      </c>
      <c r="C11" s="37" t="s">
        <v>14</v>
      </c>
      <c r="D11" s="39">
        <v>0.28000000000000003</v>
      </c>
      <c r="E11" s="37" t="s">
        <v>25</v>
      </c>
      <c r="F11" s="33" t="s">
        <v>21</v>
      </c>
      <c r="G11" s="33"/>
      <c r="H11" s="35"/>
      <c r="I11" s="27"/>
      <c r="J11" s="27"/>
      <c r="K11" s="27"/>
      <c r="L11" s="27"/>
      <c r="M11" s="27"/>
      <c r="N11" s="27"/>
      <c r="O11" s="27"/>
      <c r="P11" s="27"/>
    </row>
    <row r="12" spans="1:16" x14ac:dyDescent="0.2">
      <c r="A12" s="32"/>
      <c r="B12" s="33"/>
      <c r="C12" s="33"/>
      <c r="D12" s="33"/>
      <c r="E12" s="33"/>
      <c r="F12" s="33"/>
      <c r="G12" s="33"/>
      <c r="H12" s="35"/>
      <c r="I12" s="27"/>
      <c r="J12" s="27"/>
      <c r="K12" s="27"/>
      <c r="L12" s="27"/>
      <c r="M12" s="27"/>
      <c r="N12" s="27"/>
      <c r="O12" s="27"/>
      <c r="P12" s="27"/>
    </row>
    <row r="13" spans="1:16" x14ac:dyDescent="0.2">
      <c r="A13" s="32"/>
      <c r="B13" s="33"/>
      <c r="C13" s="33"/>
      <c r="D13" s="33"/>
      <c r="E13" s="33"/>
      <c r="F13" s="33"/>
      <c r="G13" s="33"/>
      <c r="H13" s="35"/>
      <c r="I13" s="27"/>
      <c r="J13" s="27"/>
      <c r="K13" s="27"/>
      <c r="L13" s="27"/>
      <c r="M13" s="27"/>
      <c r="N13" s="27"/>
      <c r="O13" s="27"/>
      <c r="P13" s="27"/>
    </row>
    <row r="14" spans="1:16" x14ac:dyDescent="0.2">
      <c r="A14" s="32"/>
      <c r="B14" s="219" t="s">
        <v>26</v>
      </c>
      <c r="C14" s="219"/>
      <c r="D14" s="219"/>
      <c r="E14" s="33"/>
      <c r="F14" s="33"/>
      <c r="G14" s="33"/>
      <c r="H14" s="35"/>
      <c r="I14" s="27"/>
      <c r="J14" s="27"/>
      <c r="K14" s="27"/>
      <c r="L14" s="27"/>
      <c r="M14" s="27"/>
      <c r="N14" s="27"/>
      <c r="O14" s="27"/>
      <c r="P14" s="40"/>
    </row>
    <row r="15" spans="1:16" x14ac:dyDescent="0.2">
      <c r="A15" s="32"/>
      <c r="B15" s="36" t="s">
        <v>27</v>
      </c>
      <c r="C15" s="36" t="s">
        <v>27</v>
      </c>
      <c r="D15" s="36" t="s">
        <v>27</v>
      </c>
      <c r="E15" s="33"/>
      <c r="F15" s="33"/>
      <c r="G15" s="33"/>
      <c r="H15" s="35"/>
      <c r="I15" s="27"/>
      <c r="J15" s="27"/>
      <c r="K15" s="27"/>
      <c r="L15" s="27"/>
      <c r="M15" s="27"/>
      <c r="N15" s="27"/>
      <c r="O15" s="27"/>
      <c r="P15" s="27"/>
    </row>
    <row r="16" spans="1:16" x14ac:dyDescent="0.2">
      <c r="A16" s="32"/>
      <c r="B16" s="36">
        <f>B6</f>
        <v>40</v>
      </c>
      <c r="C16" s="36">
        <v>70</v>
      </c>
      <c r="D16" s="36">
        <f>D6</f>
        <v>140</v>
      </c>
      <c r="E16" s="37" t="s">
        <v>14</v>
      </c>
      <c r="F16" s="33"/>
      <c r="G16" s="33"/>
      <c r="H16" s="35"/>
      <c r="I16" s="27"/>
      <c r="J16" s="41"/>
      <c r="K16" s="41"/>
      <c r="L16" s="41"/>
      <c r="M16" s="41"/>
      <c r="N16" s="41"/>
      <c r="O16" s="27"/>
      <c r="P16" s="27"/>
    </row>
    <row r="17" spans="1:16" x14ac:dyDescent="0.2">
      <c r="A17" s="32"/>
      <c r="B17" s="42">
        <f>$B$11/B16*$D$11</f>
        <v>0.98000000000000009</v>
      </c>
      <c r="C17" s="42">
        <f t="shared" ref="C17:D17" si="0">$B$11/C16*$D$11</f>
        <v>0.56000000000000005</v>
      </c>
      <c r="D17" s="42">
        <f t="shared" si="0"/>
        <v>0.28000000000000003</v>
      </c>
      <c r="E17" s="37" t="s">
        <v>25</v>
      </c>
      <c r="F17" s="33"/>
      <c r="G17" s="33"/>
      <c r="H17" s="35"/>
      <c r="I17" s="27"/>
      <c r="J17" s="43"/>
      <c r="K17" s="43"/>
      <c r="L17" s="43"/>
      <c r="M17" s="43"/>
      <c r="N17" s="43"/>
      <c r="O17" s="27"/>
      <c r="P17" s="27"/>
    </row>
    <row r="18" spans="1:16" x14ac:dyDescent="0.2">
      <c r="A18" s="32"/>
      <c r="B18" s="33"/>
      <c r="C18" s="33"/>
      <c r="D18" s="33"/>
      <c r="E18" s="33"/>
      <c r="F18" s="33"/>
      <c r="G18" s="33"/>
      <c r="H18" s="35"/>
      <c r="I18" s="27"/>
      <c r="J18" s="43"/>
      <c r="K18" s="43"/>
      <c r="L18" s="43"/>
      <c r="M18" s="43"/>
      <c r="N18" s="43"/>
      <c r="O18" s="27"/>
      <c r="P18" s="27"/>
    </row>
    <row r="19" spans="1:16" x14ac:dyDescent="0.2">
      <c r="A19" s="32"/>
      <c r="B19" s="33"/>
      <c r="C19" s="33"/>
      <c r="D19" s="33"/>
      <c r="E19" s="33"/>
      <c r="F19" s="33"/>
      <c r="G19" s="33"/>
      <c r="H19" s="35"/>
      <c r="I19" s="27"/>
      <c r="J19" s="43"/>
      <c r="K19" s="43"/>
      <c r="L19" s="43"/>
      <c r="M19" s="43"/>
      <c r="N19" s="43"/>
      <c r="O19" s="27"/>
      <c r="P19" s="27"/>
    </row>
    <row r="20" spans="1:16" x14ac:dyDescent="0.2">
      <c r="A20" s="32"/>
      <c r="B20" s="211" t="s">
        <v>28</v>
      </c>
      <c r="C20" s="211"/>
      <c r="D20" s="211"/>
      <c r="E20" s="39">
        <v>3.33</v>
      </c>
      <c r="F20" s="37" t="s">
        <v>29</v>
      </c>
      <c r="G20" s="33" t="s">
        <v>30</v>
      </c>
      <c r="H20" s="35"/>
      <c r="I20" s="27"/>
      <c r="J20" s="43"/>
      <c r="K20" s="43"/>
      <c r="L20" s="43"/>
      <c r="M20" s="43"/>
      <c r="N20" s="43"/>
      <c r="O20" s="27"/>
      <c r="P20" s="27"/>
    </row>
    <row r="21" spans="1:16" x14ac:dyDescent="0.2">
      <c r="A21" s="32"/>
      <c r="B21" s="211" t="s">
        <v>31</v>
      </c>
      <c r="C21" s="211"/>
      <c r="D21" s="211"/>
      <c r="E21" s="44">
        <f>IF(OR(AND(E20&lt;=0.5,B6=17),AND(B6=25,E20&lt;=1),AND(B6=40,E20&lt;=1.5)),B6,D6)</f>
        <v>140</v>
      </c>
      <c r="F21" s="37" t="s">
        <v>14</v>
      </c>
      <c r="G21" s="33"/>
      <c r="H21" s="35"/>
      <c r="I21" s="27"/>
      <c r="J21" s="43"/>
      <c r="K21" s="43"/>
      <c r="L21" s="43"/>
      <c r="M21" s="43"/>
      <c r="N21" s="43"/>
      <c r="O21" s="27"/>
      <c r="P21" s="27"/>
    </row>
    <row r="22" spans="1:16" x14ac:dyDescent="0.2">
      <c r="A22" s="32"/>
      <c r="B22" s="211" t="s">
        <v>32</v>
      </c>
      <c r="C22" s="211"/>
      <c r="D22" s="211"/>
      <c r="E22" s="42">
        <f>IF(((E20*B11/E21*D11)&lt;F4),F4,E20*B11/E21*D11)</f>
        <v>0.93240000000000012</v>
      </c>
      <c r="F22" s="37" t="s">
        <v>18</v>
      </c>
      <c r="G22" s="33"/>
      <c r="H22" s="35"/>
      <c r="I22" s="27"/>
      <c r="J22" s="43"/>
      <c r="K22" s="43"/>
      <c r="L22" s="43"/>
      <c r="M22" s="43"/>
      <c r="N22" s="43"/>
      <c r="O22" s="27"/>
      <c r="P22" s="27"/>
    </row>
    <row r="23" spans="1:16" x14ac:dyDescent="0.2">
      <c r="A23" s="32"/>
      <c r="B23" s="211" t="s">
        <v>33</v>
      </c>
      <c r="C23" s="211"/>
      <c r="D23" s="211"/>
      <c r="E23" s="45">
        <f>E22*100/1.1</f>
        <v>84.763636363636365</v>
      </c>
      <c r="F23" s="37"/>
      <c r="G23" s="33"/>
      <c r="H23" s="35"/>
      <c r="I23" s="27"/>
      <c r="J23" s="43"/>
      <c r="K23" s="43"/>
      <c r="L23" s="43"/>
      <c r="M23" s="46"/>
      <c r="N23" s="46"/>
      <c r="O23" s="27"/>
      <c r="P23" s="27"/>
    </row>
    <row r="24" spans="1:16" x14ac:dyDescent="0.2">
      <c r="A24" s="32"/>
      <c r="B24" s="33"/>
      <c r="C24" s="33"/>
      <c r="D24" s="33"/>
      <c r="E24" s="33"/>
      <c r="F24" s="33"/>
      <c r="G24" s="33"/>
      <c r="H24" s="35"/>
      <c r="I24" s="27"/>
      <c r="J24" s="43"/>
      <c r="K24" s="43"/>
      <c r="L24" s="43"/>
      <c r="M24" s="43"/>
      <c r="N24" s="43"/>
      <c r="O24" s="27"/>
      <c r="P24" s="27"/>
    </row>
    <row r="25" spans="1:16" x14ac:dyDescent="0.2">
      <c r="A25" s="47"/>
      <c r="B25" s="48"/>
      <c r="C25" s="48"/>
      <c r="D25" s="48"/>
      <c r="E25" s="48"/>
      <c r="F25" s="49"/>
      <c r="G25" s="49"/>
      <c r="H25" s="50"/>
      <c r="I25" s="27"/>
      <c r="J25" s="27"/>
      <c r="K25" s="43"/>
      <c r="L25" s="43"/>
      <c r="M25" s="43"/>
      <c r="N25" s="27"/>
      <c r="O25" s="27"/>
      <c r="P25" s="27"/>
    </row>
    <row r="26" spans="1:16" x14ac:dyDescent="0.2">
      <c r="A26" s="27"/>
      <c r="B26" s="43"/>
      <c r="C26" s="43"/>
      <c r="D26" s="43"/>
      <c r="E26" s="43"/>
      <c r="F26" s="27"/>
      <c r="G26" s="27"/>
      <c r="H26" s="27"/>
      <c r="I26" s="27"/>
      <c r="J26" s="27"/>
      <c r="K26" s="43"/>
      <c r="L26" s="43"/>
      <c r="M26" s="43"/>
      <c r="N26" s="43"/>
      <c r="O26" s="27"/>
      <c r="P26" s="27"/>
    </row>
    <row r="27" spans="1:16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43"/>
      <c r="L27" s="43"/>
      <c r="M27" s="43"/>
      <c r="N27" s="27"/>
      <c r="O27" s="27"/>
      <c r="P27" s="27"/>
    </row>
    <row r="28" spans="1:16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43"/>
      <c r="L28" s="43"/>
      <c r="M28" s="43"/>
      <c r="N28" s="27"/>
      <c r="O28" s="27"/>
      <c r="P28" s="27"/>
    </row>
    <row r="29" spans="1:16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16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spans="1:16" x14ac:dyDescent="0.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spans="1:16" x14ac:dyDescent="0.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spans="1:16" x14ac:dyDescent="0.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spans="1:16" x14ac:dyDescent="0.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spans="1:16" x14ac:dyDescent="0.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spans="1:16" x14ac:dyDescent="0.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spans="1:16" x14ac:dyDescent="0.2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 spans="1:16" x14ac:dyDescent="0.2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1:16" x14ac:dyDescent="0.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6" x14ac:dyDescent="0.2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 spans="1:16" x14ac:dyDescent="0.2">
      <c r="A42" s="27"/>
      <c r="B42" s="27"/>
      <c r="C42" s="51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1:16" x14ac:dyDescent="0.2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spans="1:16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16" x14ac:dyDescent="0.2">
      <c r="A45" s="27"/>
      <c r="B45" s="27"/>
      <c r="C45" s="27"/>
      <c r="D45" s="27"/>
      <c r="E45" s="27"/>
      <c r="F45" s="27"/>
      <c r="G45" s="27"/>
      <c r="H45" s="27"/>
      <c r="I45" s="27"/>
      <c r="J45" s="52"/>
      <c r="K45" s="27"/>
      <c r="L45" s="27"/>
      <c r="M45" s="27"/>
      <c r="N45" s="27"/>
      <c r="O45" s="27"/>
      <c r="P45" s="27"/>
    </row>
    <row r="46" spans="1:16" x14ac:dyDescent="0.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spans="1:16" x14ac:dyDescent="0.2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x14ac:dyDescent="0.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16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spans="1:16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spans="1:16" x14ac:dyDescent="0.2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16" x14ac:dyDescent="0.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spans="1:16" x14ac:dyDescent="0.2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spans="1:16" x14ac:dyDescent="0.2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1:16" x14ac:dyDescent="0.2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1:16" x14ac:dyDescent="0.2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</row>
    <row r="57" spans="1:16" x14ac:dyDescent="0.2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</row>
  </sheetData>
  <sheetProtection password="C9BB" sheet="1" objects="1" scenarios="1" selectLockedCells="1"/>
  <mergeCells count="8">
    <mergeCell ref="B22:D22"/>
    <mergeCell ref="B23:D23"/>
    <mergeCell ref="A1:H1"/>
    <mergeCell ref="B4:D4"/>
    <mergeCell ref="B9:D9"/>
    <mergeCell ref="B14:D14"/>
    <mergeCell ref="B20:D20"/>
    <mergeCell ref="B21:D2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793"/>
  <sheetViews>
    <sheetView topLeftCell="A784" workbookViewId="0">
      <selection activeCell="A795" sqref="A795:XFD801"/>
    </sheetView>
  </sheetViews>
  <sheetFormatPr defaultRowHeight="15" x14ac:dyDescent="0.25"/>
  <cols>
    <col min="14" max="14" width="16" bestFit="1" customWidth="1"/>
  </cols>
  <sheetData>
    <row r="1" spans="2:14" ht="15.75" thickBot="1" x14ac:dyDescent="0.3"/>
    <row r="2" spans="2:14" ht="15.75" x14ac:dyDescent="0.25">
      <c r="B2" s="2" t="s">
        <v>0</v>
      </c>
      <c r="C2" s="175" t="s">
        <v>202</v>
      </c>
      <c r="D2" s="176"/>
      <c r="E2" s="177" t="s">
        <v>1</v>
      </c>
      <c r="F2" s="178"/>
      <c r="G2" s="11">
        <v>140</v>
      </c>
      <c r="H2" s="179" t="s">
        <v>2</v>
      </c>
      <c r="I2" s="180"/>
      <c r="J2" s="181"/>
      <c r="K2" s="13">
        <v>140</v>
      </c>
      <c r="L2" s="3"/>
      <c r="M2" s="80" t="s">
        <v>11</v>
      </c>
      <c r="N2" s="98">
        <v>45297</v>
      </c>
    </row>
    <row r="3" spans="2:14" ht="15.75" x14ac:dyDescent="0.25">
      <c r="B3" s="4" t="s">
        <v>3</v>
      </c>
      <c r="C3" s="10">
        <v>22399</v>
      </c>
      <c r="D3" s="169" t="s">
        <v>57</v>
      </c>
      <c r="E3" s="170"/>
      <c r="F3" s="171"/>
      <c r="G3" s="18">
        <v>5650</v>
      </c>
      <c r="H3" s="172" t="s">
        <v>4</v>
      </c>
      <c r="I3" s="173"/>
      <c r="J3" s="174"/>
      <c r="K3" s="10">
        <v>53</v>
      </c>
      <c r="L3" s="15"/>
      <c r="M3" s="15"/>
      <c r="N3" s="16"/>
    </row>
    <row r="4" spans="2:14" ht="15.75" x14ac:dyDescent="0.25">
      <c r="B4" s="4" t="s">
        <v>5</v>
      </c>
      <c r="C4" s="19">
        <v>52</v>
      </c>
      <c r="D4" s="169" t="s">
        <v>8</v>
      </c>
      <c r="E4" s="170"/>
      <c r="F4" s="171"/>
      <c r="G4" s="17">
        <v>0.28000000000000003</v>
      </c>
      <c r="H4" s="172" t="s">
        <v>9</v>
      </c>
      <c r="I4" s="173"/>
      <c r="J4" s="174"/>
      <c r="K4" s="12">
        <v>0.85</v>
      </c>
      <c r="L4" s="172" t="s">
        <v>6</v>
      </c>
      <c r="M4" s="174"/>
      <c r="N4" s="20">
        <v>2</v>
      </c>
    </row>
    <row r="5" spans="2:14" ht="16.5" thickBot="1" x14ac:dyDescent="0.3">
      <c r="B5" s="5"/>
      <c r="C5" s="9"/>
      <c r="D5" s="9"/>
      <c r="E5" s="9"/>
      <c r="F5" s="9"/>
      <c r="G5" s="9"/>
      <c r="H5" s="79"/>
      <c r="I5" s="21"/>
      <c r="J5" s="21"/>
      <c r="K5" s="21"/>
      <c r="L5" s="21"/>
      <c r="M5" s="21"/>
      <c r="N5" s="6"/>
    </row>
    <row r="6" spans="2:14" ht="15.75" x14ac:dyDescent="0.25">
      <c r="B6" s="7" t="s">
        <v>7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77">
        <v>6</v>
      </c>
      <c r="I6" s="160" t="s">
        <v>228</v>
      </c>
      <c r="J6" s="161"/>
      <c r="K6" s="161"/>
      <c r="L6" s="161"/>
      <c r="M6" s="161"/>
      <c r="N6" s="162"/>
    </row>
    <row r="7" spans="2:14" ht="15.75" x14ac:dyDescent="0.25">
      <c r="B7" s="87" t="s">
        <v>10</v>
      </c>
      <c r="C7" s="19">
        <v>43</v>
      </c>
      <c r="D7" s="19">
        <v>43</v>
      </c>
      <c r="E7" s="19">
        <v>44</v>
      </c>
      <c r="F7" s="19">
        <v>44</v>
      </c>
      <c r="G7" s="19">
        <v>43</v>
      </c>
      <c r="H7" s="95">
        <v>43</v>
      </c>
      <c r="I7" s="163"/>
      <c r="J7" s="164"/>
      <c r="K7" s="164"/>
      <c r="L7" s="164"/>
      <c r="M7" s="164"/>
      <c r="N7" s="165"/>
    </row>
    <row r="8" spans="2:14" ht="16.5" thickBot="1" x14ac:dyDescent="0.3">
      <c r="B8" s="94" t="s">
        <v>12</v>
      </c>
      <c r="C8" s="93">
        <v>58</v>
      </c>
      <c r="D8" s="93">
        <v>60</v>
      </c>
      <c r="E8" s="93">
        <v>58</v>
      </c>
      <c r="F8" s="93">
        <v>58</v>
      </c>
      <c r="G8" s="93">
        <v>57</v>
      </c>
      <c r="H8" s="97">
        <v>60</v>
      </c>
      <c r="I8" s="166"/>
      <c r="J8" s="167"/>
      <c r="K8" s="167"/>
      <c r="L8" s="167"/>
      <c r="M8" s="167"/>
      <c r="N8" s="168"/>
    </row>
    <row r="9" spans="2:14" ht="15.75" thickBot="1" x14ac:dyDescent="0.3"/>
    <row r="10" spans="2:14" ht="15.75" x14ac:dyDescent="0.25">
      <c r="B10" s="2" t="s">
        <v>0</v>
      </c>
      <c r="C10" s="175" t="s">
        <v>202</v>
      </c>
      <c r="D10" s="176"/>
      <c r="E10" s="177" t="s">
        <v>1</v>
      </c>
      <c r="F10" s="178"/>
      <c r="G10" s="11">
        <v>140</v>
      </c>
      <c r="H10" s="179" t="s">
        <v>2</v>
      </c>
      <c r="I10" s="180"/>
      <c r="J10" s="181"/>
      <c r="K10" s="13">
        <v>140</v>
      </c>
      <c r="L10" s="3"/>
      <c r="M10" s="80" t="s">
        <v>11</v>
      </c>
      <c r="N10" s="98">
        <v>45304</v>
      </c>
    </row>
    <row r="11" spans="2:14" ht="15.75" x14ac:dyDescent="0.25">
      <c r="B11" s="4" t="s">
        <v>3</v>
      </c>
      <c r="C11" s="10">
        <v>22568</v>
      </c>
      <c r="D11" s="169" t="s">
        <v>57</v>
      </c>
      <c r="E11" s="170"/>
      <c r="F11" s="171"/>
      <c r="G11" s="18">
        <v>5700</v>
      </c>
      <c r="H11" s="172" t="s">
        <v>4</v>
      </c>
      <c r="I11" s="173"/>
      <c r="J11" s="174"/>
      <c r="K11" s="10">
        <v>53</v>
      </c>
      <c r="L11" s="15"/>
      <c r="M11" s="15"/>
      <c r="N11" s="16"/>
    </row>
    <row r="12" spans="2:14" ht="15.75" x14ac:dyDescent="0.25">
      <c r="B12" s="4" t="s">
        <v>5</v>
      </c>
      <c r="C12" s="19">
        <v>52</v>
      </c>
      <c r="D12" s="169" t="s">
        <v>8</v>
      </c>
      <c r="E12" s="170"/>
      <c r="F12" s="171"/>
      <c r="G12" s="17">
        <v>0.28000000000000003</v>
      </c>
      <c r="H12" s="172" t="s">
        <v>9</v>
      </c>
      <c r="I12" s="173"/>
      <c r="J12" s="174"/>
      <c r="K12" s="12">
        <v>0.85</v>
      </c>
      <c r="L12" s="172" t="s">
        <v>6</v>
      </c>
      <c r="M12" s="174"/>
      <c r="N12" s="20">
        <v>3.44</v>
      </c>
    </row>
    <row r="13" spans="2:14" ht="16.5" thickBot="1" x14ac:dyDescent="0.3">
      <c r="B13" s="5"/>
      <c r="C13" s="9"/>
      <c r="D13" s="9"/>
      <c r="E13" s="9"/>
      <c r="F13" s="9"/>
      <c r="G13" s="9"/>
      <c r="H13" s="79"/>
      <c r="I13" s="21"/>
      <c r="J13" s="21"/>
      <c r="K13" s="21"/>
      <c r="L13" s="21"/>
      <c r="M13" s="21"/>
      <c r="N13" s="6"/>
    </row>
    <row r="14" spans="2:14" ht="15.75" x14ac:dyDescent="0.25">
      <c r="B14" s="7" t="s">
        <v>7</v>
      </c>
      <c r="C14" s="1">
        <v>1</v>
      </c>
      <c r="D14" s="1">
        <v>2</v>
      </c>
      <c r="E14" s="1">
        <v>3</v>
      </c>
      <c r="F14" s="1">
        <v>4</v>
      </c>
      <c r="G14" s="1">
        <v>5</v>
      </c>
      <c r="H14" s="77">
        <v>6</v>
      </c>
      <c r="I14" s="160" t="s">
        <v>229</v>
      </c>
      <c r="J14" s="161"/>
      <c r="K14" s="161"/>
      <c r="L14" s="161"/>
      <c r="M14" s="161"/>
      <c r="N14" s="162"/>
    </row>
    <row r="15" spans="2:14" ht="15.75" x14ac:dyDescent="0.25">
      <c r="B15" s="87" t="s">
        <v>10</v>
      </c>
      <c r="C15" s="19">
        <v>44</v>
      </c>
      <c r="D15" s="19">
        <v>44</v>
      </c>
      <c r="E15" s="19">
        <v>44</v>
      </c>
      <c r="F15" s="19">
        <v>43</v>
      </c>
      <c r="G15" s="19">
        <v>44</v>
      </c>
      <c r="H15" s="95">
        <v>43</v>
      </c>
      <c r="I15" s="163"/>
      <c r="J15" s="164"/>
      <c r="K15" s="164"/>
      <c r="L15" s="164"/>
      <c r="M15" s="164"/>
      <c r="N15" s="165"/>
    </row>
    <row r="16" spans="2:14" ht="16.5" thickBot="1" x14ac:dyDescent="0.3">
      <c r="B16" s="94" t="s">
        <v>12</v>
      </c>
      <c r="C16" s="93">
        <v>65</v>
      </c>
      <c r="D16" s="93">
        <v>61</v>
      </c>
      <c r="E16" s="93">
        <v>66</v>
      </c>
      <c r="F16" s="93">
        <v>60</v>
      </c>
      <c r="G16" s="93">
        <v>62</v>
      </c>
      <c r="H16" s="97">
        <v>61</v>
      </c>
      <c r="I16" s="166"/>
      <c r="J16" s="167"/>
      <c r="K16" s="167"/>
      <c r="L16" s="167"/>
      <c r="M16" s="167"/>
      <c r="N16" s="168"/>
    </row>
    <row r="17" spans="2:14" ht="15.75" thickBot="1" x14ac:dyDescent="0.3"/>
    <row r="18" spans="2:14" ht="15.75" x14ac:dyDescent="0.25">
      <c r="B18" s="2" t="s">
        <v>0</v>
      </c>
      <c r="C18" s="175" t="s">
        <v>202</v>
      </c>
      <c r="D18" s="176"/>
      <c r="E18" s="177" t="s">
        <v>1</v>
      </c>
      <c r="F18" s="178"/>
      <c r="G18" s="11">
        <v>140</v>
      </c>
      <c r="H18" s="179" t="s">
        <v>2</v>
      </c>
      <c r="I18" s="180"/>
      <c r="J18" s="181"/>
      <c r="K18" s="13">
        <v>140</v>
      </c>
      <c r="L18" s="3"/>
      <c r="M18" s="80" t="s">
        <v>11</v>
      </c>
      <c r="N18" s="98">
        <v>45311</v>
      </c>
    </row>
    <row r="19" spans="2:14" ht="15.75" x14ac:dyDescent="0.25">
      <c r="B19" s="4" t="s">
        <v>3</v>
      </c>
      <c r="C19" s="10">
        <v>22762</v>
      </c>
      <c r="D19" s="169" t="s">
        <v>57</v>
      </c>
      <c r="E19" s="170"/>
      <c r="F19" s="171"/>
      <c r="G19" s="18">
        <v>4600</v>
      </c>
      <c r="H19" s="172" t="s">
        <v>4</v>
      </c>
      <c r="I19" s="173"/>
      <c r="J19" s="174"/>
      <c r="K19" s="10">
        <v>46</v>
      </c>
      <c r="L19" s="15"/>
      <c r="M19" s="15"/>
      <c r="N19" s="16"/>
    </row>
    <row r="20" spans="2:14" ht="15.75" x14ac:dyDescent="0.25">
      <c r="B20" s="4" t="s">
        <v>5</v>
      </c>
      <c r="C20" s="19">
        <v>52</v>
      </c>
      <c r="D20" s="169" t="s">
        <v>8</v>
      </c>
      <c r="E20" s="170"/>
      <c r="F20" s="171"/>
      <c r="G20" s="17">
        <v>0.28000000000000003</v>
      </c>
      <c r="H20" s="172" t="s">
        <v>9</v>
      </c>
      <c r="I20" s="173"/>
      <c r="J20" s="174"/>
      <c r="K20" s="12">
        <v>0.85</v>
      </c>
      <c r="L20" s="172" t="s">
        <v>6</v>
      </c>
      <c r="M20" s="174"/>
      <c r="N20" s="20">
        <v>3.44</v>
      </c>
    </row>
    <row r="21" spans="2:14" ht="16.5" thickBot="1" x14ac:dyDescent="0.3">
      <c r="B21" s="5"/>
      <c r="C21" s="9"/>
      <c r="D21" s="9"/>
      <c r="E21" s="9"/>
      <c r="F21" s="9"/>
      <c r="G21" s="9"/>
      <c r="H21" s="79"/>
      <c r="I21" s="21"/>
      <c r="J21" s="21"/>
      <c r="K21" s="21"/>
      <c r="L21" s="21"/>
      <c r="M21" s="21"/>
      <c r="N21" s="6"/>
    </row>
    <row r="22" spans="2:14" ht="15.75" x14ac:dyDescent="0.25">
      <c r="B22" s="7" t="s">
        <v>7</v>
      </c>
      <c r="C22" s="1">
        <v>1</v>
      </c>
      <c r="D22" s="1">
        <v>2</v>
      </c>
      <c r="E22" s="1">
        <v>3</v>
      </c>
      <c r="F22" s="1">
        <v>4</v>
      </c>
      <c r="G22" s="1">
        <v>5</v>
      </c>
      <c r="H22" s="77">
        <v>6</v>
      </c>
      <c r="I22" s="160" t="s">
        <v>230</v>
      </c>
      <c r="J22" s="161"/>
      <c r="K22" s="161"/>
      <c r="L22" s="161"/>
      <c r="M22" s="161"/>
      <c r="N22" s="162"/>
    </row>
    <row r="23" spans="2:14" ht="15.75" x14ac:dyDescent="0.25">
      <c r="B23" s="87" t="s">
        <v>10</v>
      </c>
      <c r="C23" s="19">
        <v>42</v>
      </c>
      <c r="D23" s="19">
        <v>43</v>
      </c>
      <c r="E23" s="19">
        <v>44</v>
      </c>
      <c r="F23" s="19">
        <v>40</v>
      </c>
      <c r="G23" s="19">
        <v>41</v>
      </c>
      <c r="H23" s="95">
        <v>44</v>
      </c>
      <c r="I23" s="163"/>
      <c r="J23" s="164"/>
      <c r="K23" s="164"/>
      <c r="L23" s="164"/>
      <c r="M23" s="164"/>
      <c r="N23" s="165"/>
    </row>
    <row r="24" spans="2:14" ht="16.5" thickBot="1" x14ac:dyDescent="0.3">
      <c r="B24" s="94" t="s">
        <v>12</v>
      </c>
      <c r="C24" s="93">
        <v>76</v>
      </c>
      <c r="D24" s="93">
        <v>55</v>
      </c>
      <c r="E24" s="93">
        <v>65</v>
      </c>
      <c r="F24" s="93">
        <v>56</v>
      </c>
      <c r="G24" s="93">
        <v>68</v>
      </c>
      <c r="H24" s="97">
        <v>70</v>
      </c>
      <c r="I24" s="166"/>
      <c r="J24" s="167"/>
      <c r="K24" s="167"/>
      <c r="L24" s="167"/>
      <c r="M24" s="167"/>
      <c r="N24" s="168"/>
    </row>
    <row r="25" spans="2:14" ht="15.75" thickBot="1" x14ac:dyDescent="0.3"/>
    <row r="26" spans="2:14" ht="15.75" x14ac:dyDescent="0.25">
      <c r="B26" s="2" t="s">
        <v>0</v>
      </c>
      <c r="C26" s="175" t="s">
        <v>202</v>
      </c>
      <c r="D26" s="176"/>
      <c r="E26" s="177" t="s">
        <v>1</v>
      </c>
      <c r="F26" s="178"/>
      <c r="G26" s="11">
        <v>140</v>
      </c>
      <c r="H26" s="179" t="s">
        <v>2</v>
      </c>
      <c r="I26" s="180"/>
      <c r="J26" s="181"/>
      <c r="K26" s="13">
        <v>140</v>
      </c>
      <c r="L26" s="3"/>
      <c r="M26" s="80" t="s">
        <v>11</v>
      </c>
      <c r="N26" s="98">
        <v>45318</v>
      </c>
    </row>
    <row r="27" spans="2:14" ht="15.75" x14ac:dyDescent="0.25">
      <c r="B27" s="4" t="s">
        <v>3</v>
      </c>
      <c r="C27" s="10">
        <v>22906</v>
      </c>
      <c r="D27" s="169" t="s">
        <v>57</v>
      </c>
      <c r="E27" s="170"/>
      <c r="F27" s="171"/>
      <c r="G27" s="18">
        <v>4600</v>
      </c>
      <c r="H27" s="172" t="s">
        <v>4</v>
      </c>
      <c r="I27" s="173"/>
      <c r="J27" s="174"/>
      <c r="K27" s="10">
        <v>47</v>
      </c>
      <c r="L27" s="15"/>
      <c r="M27" s="15"/>
      <c r="N27" s="16"/>
    </row>
    <row r="28" spans="2:14" ht="15.75" x14ac:dyDescent="0.25">
      <c r="B28" s="4" t="s">
        <v>5</v>
      </c>
      <c r="C28" s="19">
        <v>48</v>
      </c>
      <c r="D28" s="169" t="s">
        <v>8</v>
      </c>
      <c r="E28" s="170"/>
      <c r="F28" s="171"/>
      <c r="G28" s="17">
        <v>0.28000000000000003</v>
      </c>
      <c r="H28" s="172" t="s">
        <v>9</v>
      </c>
      <c r="I28" s="173"/>
      <c r="J28" s="174"/>
      <c r="K28" s="12">
        <v>0.85</v>
      </c>
      <c r="L28" s="172" t="s">
        <v>6</v>
      </c>
      <c r="M28" s="174"/>
      <c r="N28" s="20">
        <v>3.44</v>
      </c>
    </row>
    <row r="29" spans="2:14" ht="16.5" thickBot="1" x14ac:dyDescent="0.3">
      <c r="B29" s="5"/>
      <c r="C29" s="9"/>
      <c r="D29" s="9"/>
      <c r="E29" s="9"/>
      <c r="F29" s="9"/>
      <c r="G29" s="9"/>
      <c r="H29" s="79"/>
      <c r="I29" s="21"/>
      <c r="J29" s="21"/>
      <c r="K29" s="21"/>
      <c r="L29" s="21"/>
      <c r="M29" s="21"/>
      <c r="N29" s="6"/>
    </row>
    <row r="30" spans="2:14" ht="15.75" x14ac:dyDescent="0.25">
      <c r="B30" s="7" t="s">
        <v>7</v>
      </c>
      <c r="C30" s="1">
        <v>1</v>
      </c>
      <c r="D30" s="1">
        <v>2</v>
      </c>
      <c r="E30" s="1">
        <v>3</v>
      </c>
      <c r="F30" s="1">
        <v>4</v>
      </c>
      <c r="G30" s="1">
        <v>5</v>
      </c>
      <c r="H30" s="77">
        <v>6</v>
      </c>
      <c r="I30" s="160" t="s">
        <v>231</v>
      </c>
      <c r="J30" s="161"/>
      <c r="K30" s="161"/>
      <c r="L30" s="161"/>
      <c r="M30" s="161"/>
      <c r="N30" s="162"/>
    </row>
    <row r="31" spans="2:14" ht="15.75" x14ac:dyDescent="0.25">
      <c r="B31" s="87" t="s">
        <v>10</v>
      </c>
      <c r="C31" s="19">
        <v>43</v>
      </c>
      <c r="D31" s="19">
        <v>42</v>
      </c>
      <c r="E31" s="19">
        <v>43</v>
      </c>
      <c r="F31" s="19">
        <v>41</v>
      </c>
      <c r="G31" s="19">
        <v>41</v>
      </c>
      <c r="H31" s="95">
        <v>43</v>
      </c>
      <c r="I31" s="163"/>
      <c r="J31" s="164"/>
      <c r="K31" s="164"/>
      <c r="L31" s="164"/>
      <c r="M31" s="164"/>
      <c r="N31" s="165"/>
    </row>
    <row r="32" spans="2:14" ht="16.5" thickBot="1" x14ac:dyDescent="0.3">
      <c r="B32" s="94" t="s">
        <v>12</v>
      </c>
      <c r="C32" s="93">
        <v>76</v>
      </c>
      <c r="D32" s="93">
        <v>60</v>
      </c>
      <c r="E32" s="93">
        <v>66</v>
      </c>
      <c r="F32" s="93">
        <v>69</v>
      </c>
      <c r="G32" s="93">
        <v>68</v>
      </c>
      <c r="H32" s="97">
        <v>72</v>
      </c>
      <c r="I32" s="166"/>
      <c r="J32" s="167"/>
      <c r="K32" s="167"/>
      <c r="L32" s="167"/>
      <c r="M32" s="167"/>
      <c r="N32" s="168"/>
    </row>
    <row r="33" spans="2:14" ht="15.75" thickBot="1" x14ac:dyDescent="0.3"/>
    <row r="34" spans="2:14" ht="15.75" x14ac:dyDescent="0.25">
      <c r="B34" s="2" t="s">
        <v>0</v>
      </c>
      <c r="C34" s="175" t="s">
        <v>202</v>
      </c>
      <c r="D34" s="176"/>
      <c r="E34" s="177" t="s">
        <v>1</v>
      </c>
      <c r="F34" s="178"/>
      <c r="G34" s="11">
        <v>140</v>
      </c>
      <c r="H34" s="179" t="s">
        <v>2</v>
      </c>
      <c r="I34" s="180"/>
      <c r="J34" s="181"/>
      <c r="K34" s="13">
        <v>140</v>
      </c>
      <c r="L34" s="3"/>
      <c r="M34" s="80" t="s">
        <v>11</v>
      </c>
      <c r="N34" s="98">
        <v>45325</v>
      </c>
    </row>
    <row r="35" spans="2:14" ht="15.75" x14ac:dyDescent="0.25">
      <c r="B35" s="4" t="s">
        <v>3</v>
      </c>
      <c r="C35" s="10">
        <v>23023</v>
      </c>
      <c r="D35" s="169" t="s">
        <v>57</v>
      </c>
      <c r="E35" s="170"/>
      <c r="F35" s="171"/>
      <c r="G35" s="18">
        <v>9100</v>
      </c>
      <c r="H35" s="172" t="s">
        <v>4</v>
      </c>
      <c r="I35" s="173"/>
      <c r="J35" s="174"/>
      <c r="K35" s="10">
        <v>62</v>
      </c>
      <c r="L35" s="15"/>
      <c r="M35" s="15"/>
      <c r="N35" s="16"/>
    </row>
    <row r="36" spans="2:14" ht="15.75" x14ac:dyDescent="0.25">
      <c r="B36" s="4" t="s">
        <v>5</v>
      </c>
      <c r="C36" s="19">
        <v>72</v>
      </c>
      <c r="D36" s="169" t="s">
        <v>8</v>
      </c>
      <c r="E36" s="170"/>
      <c r="F36" s="171"/>
      <c r="G36" s="17">
        <v>0.28000000000000003</v>
      </c>
      <c r="H36" s="172" t="s">
        <v>9</v>
      </c>
      <c r="I36" s="173"/>
      <c r="J36" s="174"/>
      <c r="K36" s="12">
        <v>0.85</v>
      </c>
      <c r="L36" s="172" t="s">
        <v>6</v>
      </c>
      <c r="M36" s="174"/>
      <c r="N36" s="20">
        <v>3.44</v>
      </c>
    </row>
    <row r="37" spans="2:14" ht="16.5" thickBot="1" x14ac:dyDescent="0.3">
      <c r="B37" s="5"/>
      <c r="C37" s="9"/>
      <c r="D37" s="9"/>
      <c r="E37" s="9"/>
      <c r="F37" s="9"/>
      <c r="G37" s="9"/>
      <c r="H37" s="79"/>
      <c r="I37" s="21"/>
      <c r="J37" s="21"/>
      <c r="K37" s="21"/>
      <c r="L37" s="21"/>
      <c r="M37" s="21"/>
      <c r="N37" s="6"/>
    </row>
    <row r="38" spans="2:14" ht="15.75" x14ac:dyDescent="0.25">
      <c r="B38" s="7" t="s">
        <v>7</v>
      </c>
      <c r="C38" s="1">
        <v>1</v>
      </c>
      <c r="D38" s="1">
        <v>2</v>
      </c>
      <c r="E38" s="1">
        <v>3</v>
      </c>
      <c r="F38" s="1">
        <v>4</v>
      </c>
      <c r="G38" s="1">
        <v>5</v>
      </c>
      <c r="H38" s="77">
        <v>6</v>
      </c>
      <c r="I38" s="160" t="s">
        <v>232</v>
      </c>
      <c r="J38" s="161"/>
      <c r="K38" s="161"/>
      <c r="L38" s="161"/>
      <c r="M38" s="161"/>
      <c r="N38" s="162"/>
    </row>
    <row r="39" spans="2:14" ht="15.75" x14ac:dyDescent="0.25">
      <c r="B39" s="87" t="s">
        <v>10</v>
      </c>
      <c r="C39" s="19">
        <v>42</v>
      </c>
      <c r="D39" s="19">
        <v>42</v>
      </c>
      <c r="E39" s="19">
        <v>43</v>
      </c>
      <c r="F39" s="19">
        <v>44</v>
      </c>
      <c r="G39" s="19">
        <v>42</v>
      </c>
      <c r="H39" s="95">
        <v>43</v>
      </c>
      <c r="I39" s="163"/>
      <c r="J39" s="164"/>
      <c r="K39" s="164"/>
      <c r="L39" s="164"/>
      <c r="M39" s="164"/>
      <c r="N39" s="165"/>
    </row>
    <row r="40" spans="2:14" ht="16.5" thickBot="1" x14ac:dyDescent="0.3">
      <c r="B40" s="94" t="s">
        <v>12</v>
      </c>
      <c r="C40" s="93">
        <v>72</v>
      </c>
      <c r="D40" s="93">
        <v>55</v>
      </c>
      <c r="E40" s="93">
        <v>61</v>
      </c>
      <c r="F40" s="93">
        <v>57</v>
      </c>
      <c r="G40" s="93">
        <v>70</v>
      </c>
      <c r="H40" s="97">
        <v>59</v>
      </c>
      <c r="I40" s="166"/>
      <c r="J40" s="167"/>
      <c r="K40" s="167"/>
      <c r="L40" s="167"/>
      <c r="M40" s="167"/>
      <c r="N40" s="168"/>
    </row>
    <row r="41" spans="2:14" ht="15.75" thickBot="1" x14ac:dyDescent="0.3"/>
    <row r="42" spans="2:14" ht="15.75" x14ac:dyDescent="0.25">
      <c r="B42" s="2" t="s">
        <v>0</v>
      </c>
      <c r="C42" s="175" t="s">
        <v>202</v>
      </c>
      <c r="D42" s="176"/>
      <c r="E42" s="177" t="s">
        <v>1</v>
      </c>
      <c r="F42" s="178"/>
      <c r="G42" s="11">
        <v>140</v>
      </c>
      <c r="H42" s="179" t="s">
        <v>2</v>
      </c>
      <c r="I42" s="180"/>
      <c r="J42" s="181"/>
      <c r="K42" s="13">
        <v>140</v>
      </c>
      <c r="L42" s="3"/>
      <c r="M42" s="80" t="s">
        <v>11</v>
      </c>
      <c r="N42" s="98">
        <v>45332</v>
      </c>
    </row>
    <row r="43" spans="2:14" ht="15.75" x14ac:dyDescent="0.25">
      <c r="B43" s="4" t="s">
        <v>3</v>
      </c>
      <c r="C43" s="10">
        <v>23190</v>
      </c>
      <c r="D43" s="169" t="s">
        <v>57</v>
      </c>
      <c r="E43" s="170"/>
      <c r="F43" s="171"/>
      <c r="G43" s="18">
        <v>9200</v>
      </c>
      <c r="H43" s="172" t="s">
        <v>4</v>
      </c>
      <c r="I43" s="173"/>
      <c r="J43" s="174"/>
      <c r="K43" s="10">
        <v>62</v>
      </c>
      <c r="L43" s="15"/>
      <c r="M43" s="15"/>
      <c r="N43" s="16"/>
    </row>
    <row r="44" spans="2:14" ht="15.75" x14ac:dyDescent="0.25">
      <c r="B44" s="4" t="s">
        <v>5</v>
      </c>
      <c r="C44" s="19">
        <v>72</v>
      </c>
      <c r="D44" s="169" t="s">
        <v>8</v>
      </c>
      <c r="E44" s="170"/>
      <c r="F44" s="171"/>
      <c r="G44" s="17">
        <v>0.28000000000000003</v>
      </c>
      <c r="H44" s="172" t="s">
        <v>9</v>
      </c>
      <c r="I44" s="173"/>
      <c r="J44" s="174"/>
      <c r="K44" s="12">
        <v>0.85</v>
      </c>
      <c r="L44" s="172" t="s">
        <v>6</v>
      </c>
      <c r="M44" s="174"/>
      <c r="N44" s="20">
        <v>3.44</v>
      </c>
    </row>
    <row r="45" spans="2:14" ht="16.5" thickBot="1" x14ac:dyDescent="0.3">
      <c r="B45" s="5"/>
      <c r="C45" s="9"/>
      <c r="D45" s="9"/>
      <c r="E45" s="9"/>
      <c r="F45" s="9"/>
      <c r="G45" s="9"/>
      <c r="H45" s="79"/>
      <c r="I45" s="21"/>
      <c r="J45" s="21"/>
      <c r="K45" s="21"/>
      <c r="L45" s="21"/>
      <c r="M45" s="21"/>
      <c r="N45" s="6"/>
    </row>
    <row r="46" spans="2:14" ht="15.75" x14ac:dyDescent="0.25">
      <c r="B46" s="7" t="s">
        <v>7</v>
      </c>
      <c r="C46" s="1">
        <v>1</v>
      </c>
      <c r="D46" s="1">
        <v>2</v>
      </c>
      <c r="E46" s="1">
        <v>3</v>
      </c>
      <c r="F46" s="1">
        <v>4</v>
      </c>
      <c r="G46" s="1">
        <v>5</v>
      </c>
      <c r="H46" s="77">
        <v>6</v>
      </c>
      <c r="I46" s="160" t="s">
        <v>233</v>
      </c>
      <c r="J46" s="161"/>
      <c r="K46" s="161"/>
      <c r="L46" s="161"/>
      <c r="M46" s="161"/>
      <c r="N46" s="162"/>
    </row>
    <row r="47" spans="2:14" ht="15.75" x14ac:dyDescent="0.25">
      <c r="B47" s="87" t="s">
        <v>10</v>
      </c>
      <c r="C47" s="19">
        <v>43</v>
      </c>
      <c r="D47" s="19">
        <v>43</v>
      </c>
      <c r="E47" s="19">
        <v>44</v>
      </c>
      <c r="F47" s="19">
        <v>44</v>
      </c>
      <c r="G47" s="19">
        <v>43</v>
      </c>
      <c r="H47" s="95">
        <v>42</v>
      </c>
      <c r="I47" s="163"/>
      <c r="J47" s="164"/>
      <c r="K47" s="164"/>
      <c r="L47" s="164"/>
      <c r="M47" s="164"/>
      <c r="N47" s="165"/>
    </row>
    <row r="48" spans="2:14" ht="16.5" thickBot="1" x14ac:dyDescent="0.3">
      <c r="B48" s="94" t="s">
        <v>12</v>
      </c>
      <c r="C48" s="93">
        <v>73</v>
      </c>
      <c r="D48" s="93">
        <v>60</v>
      </c>
      <c r="E48" s="93">
        <v>61</v>
      </c>
      <c r="F48" s="93">
        <v>63</v>
      </c>
      <c r="G48" s="93">
        <v>68</v>
      </c>
      <c r="H48" s="97">
        <v>65</v>
      </c>
      <c r="I48" s="166"/>
      <c r="J48" s="167"/>
      <c r="K48" s="167"/>
      <c r="L48" s="167"/>
      <c r="M48" s="167"/>
      <c r="N48" s="168"/>
    </row>
    <row r="49" spans="2:14" ht="15.75" thickBot="1" x14ac:dyDescent="0.3"/>
    <row r="50" spans="2:14" ht="15.75" x14ac:dyDescent="0.25">
      <c r="B50" s="2" t="s">
        <v>0</v>
      </c>
      <c r="C50" s="175" t="s">
        <v>202</v>
      </c>
      <c r="D50" s="176"/>
      <c r="E50" s="177" t="s">
        <v>1</v>
      </c>
      <c r="F50" s="178"/>
      <c r="G50" s="11">
        <v>140</v>
      </c>
      <c r="H50" s="179" t="s">
        <v>2</v>
      </c>
      <c r="I50" s="180"/>
      <c r="J50" s="181"/>
      <c r="K50" s="13">
        <v>140</v>
      </c>
      <c r="L50" s="3"/>
      <c r="M50" s="80" t="s">
        <v>11</v>
      </c>
      <c r="N50" s="98">
        <v>45339</v>
      </c>
    </row>
    <row r="51" spans="2:14" ht="15.75" x14ac:dyDescent="0.25">
      <c r="B51" s="4" t="s">
        <v>3</v>
      </c>
      <c r="C51" s="10">
        <v>23355</v>
      </c>
      <c r="D51" s="169" t="s">
        <v>57</v>
      </c>
      <c r="E51" s="170"/>
      <c r="F51" s="171"/>
      <c r="G51" s="18">
        <v>9100</v>
      </c>
      <c r="H51" s="172" t="s">
        <v>4</v>
      </c>
      <c r="I51" s="173"/>
      <c r="J51" s="174"/>
      <c r="K51" s="10">
        <v>62</v>
      </c>
      <c r="L51" s="15"/>
      <c r="M51" s="15"/>
      <c r="N51" s="16"/>
    </row>
    <row r="52" spans="2:14" ht="15.75" x14ac:dyDescent="0.25">
      <c r="B52" s="4" t="s">
        <v>5</v>
      </c>
      <c r="C52" s="19">
        <v>72</v>
      </c>
      <c r="D52" s="169" t="s">
        <v>8</v>
      </c>
      <c r="E52" s="170"/>
      <c r="F52" s="171"/>
      <c r="G52" s="17">
        <v>0.28000000000000003</v>
      </c>
      <c r="H52" s="172" t="s">
        <v>9</v>
      </c>
      <c r="I52" s="173"/>
      <c r="J52" s="174"/>
      <c r="K52" s="12">
        <v>0.85</v>
      </c>
      <c r="L52" s="172" t="s">
        <v>6</v>
      </c>
      <c r="M52" s="174"/>
      <c r="N52" s="20">
        <v>3.44</v>
      </c>
    </row>
    <row r="53" spans="2:14" ht="16.5" thickBot="1" x14ac:dyDescent="0.3">
      <c r="B53" s="5"/>
      <c r="C53" s="9"/>
      <c r="D53" s="9"/>
      <c r="E53" s="9"/>
      <c r="F53" s="9"/>
      <c r="G53" s="9"/>
      <c r="H53" s="79"/>
      <c r="I53" s="21"/>
      <c r="J53" s="21"/>
      <c r="K53" s="21"/>
      <c r="L53" s="21"/>
      <c r="M53" s="21"/>
      <c r="N53" s="6"/>
    </row>
    <row r="54" spans="2:14" ht="15.75" x14ac:dyDescent="0.25">
      <c r="B54" s="7" t="s">
        <v>7</v>
      </c>
      <c r="C54" s="1">
        <v>1</v>
      </c>
      <c r="D54" s="1">
        <v>2</v>
      </c>
      <c r="E54" s="1">
        <v>3</v>
      </c>
      <c r="F54" s="1">
        <v>4</v>
      </c>
      <c r="G54" s="1">
        <v>5</v>
      </c>
      <c r="H54" s="77">
        <v>6</v>
      </c>
      <c r="I54" s="160" t="s">
        <v>234</v>
      </c>
      <c r="J54" s="161"/>
      <c r="K54" s="161"/>
      <c r="L54" s="161"/>
      <c r="M54" s="161"/>
      <c r="N54" s="162"/>
    </row>
    <row r="55" spans="2:14" ht="15.75" x14ac:dyDescent="0.25">
      <c r="B55" s="87" t="s">
        <v>10</v>
      </c>
      <c r="C55" s="19">
        <v>42</v>
      </c>
      <c r="D55" s="19">
        <v>42</v>
      </c>
      <c r="E55" s="19">
        <v>43</v>
      </c>
      <c r="F55" s="19">
        <v>44</v>
      </c>
      <c r="G55" s="19">
        <v>43</v>
      </c>
      <c r="H55" s="95">
        <v>44</v>
      </c>
      <c r="I55" s="163"/>
      <c r="J55" s="164"/>
      <c r="K55" s="164"/>
      <c r="L55" s="164"/>
      <c r="M55" s="164"/>
      <c r="N55" s="165"/>
    </row>
    <row r="56" spans="2:14" ht="16.5" thickBot="1" x14ac:dyDescent="0.3">
      <c r="B56" s="94" t="s">
        <v>12</v>
      </c>
      <c r="C56" s="93">
        <v>71</v>
      </c>
      <c r="D56" s="93">
        <v>64</v>
      </c>
      <c r="E56" s="93">
        <v>66</v>
      </c>
      <c r="F56" s="93">
        <v>68</v>
      </c>
      <c r="G56" s="93">
        <v>67</v>
      </c>
      <c r="H56" s="97">
        <v>70</v>
      </c>
      <c r="I56" s="166"/>
      <c r="J56" s="167"/>
      <c r="K56" s="167"/>
      <c r="L56" s="167"/>
      <c r="M56" s="167"/>
      <c r="N56" s="168"/>
    </row>
    <row r="57" spans="2:14" ht="15.75" thickBot="1" x14ac:dyDescent="0.3"/>
    <row r="58" spans="2:14" ht="15.75" x14ac:dyDescent="0.25">
      <c r="B58" s="2" t="s">
        <v>0</v>
      </c>
      <c r="C58" s="175" t="s">
        <v>202</v>
      </c>
      <c r="D58" s="176"/>
      <c r="E58" s="177" t="s">
        <v>1</v>
      </c>
      <c r="F58" s="178"/>
      <c r="G58" s="11">
        <v>140</v>
      </c>
      <c r="H58" s="179" t="s">
        <v>2</v>
      </c>
      <c r="I58" s="180"/>
      <c r="J58" s="181"/>
      <c r="K58" s="13">
        <v>140</v>
      </c>
      <c r="L58" s="3"/>
      <c r="M58" s="80" t="s">
        <v>11</v>
      </c>
      <c r="N58" s="98">
        <v>45343</v>
      </c>
    </row>
    <row r="59" spans="2:14" ht="15.75" x14ac:dyDescent="0.25">
      <c r="B59" s="4" t="s">
        <v>3</v>
      </c>
      <c r="C59" s="10">
        <v>23450</v>
      </c>
      <c r="D59" s="169" t="s">
        <v>57</v>
      </c>
      <c r="E59" s="170"/>
      <c r="F59" s="171"/>
      <c r="G59" s="18">
        <v>7580</v>
      </c>
      <c r="H59" s="172" t="s">
        <v>4</v>
      </c>
      <c r="I59" s="173"/>
      <c r="J59" s="174"/>
      <c r="K59" s="10">
        <v>59</v>
      </c>
      <c r="L59" s="15"/>
      <c r="M59" s="15"/>
      <c r="N59" s="16"/>
    </row>
    <row r="60" spans="2:14" ht="15.75" x14ac:dyDescent="0.25">
      <c r="B60" s="4" t="s">
        <v>5</v>
      </c>
      <c r="C60" s="19">
        <v>65</v>
      </c>
      <c r="D60" s="169" t="s">
        <v>8</v>
      </c>
      <c r="E60" s="170"/>
      <c r="F60" s="171"/>
      <c r="G60" s="17">
        <v>0.28000000000000003</v>
      </c>
      <c r="H60" s="172" t="s">
        <v>9</v>
      </c>
      <c r="I60" s="173"/>
      <c r="J60" s="174"/>
      <c r="K60" s="12">
        <v>0.85</v>
      </c>
      <c r="L60" s="172" t="s">
        <v>6</v>
      </c>
      <c r="M60" s="174"/>
      <c r="N60" s="20">
        <v>3.44</v>
      </c>
    </row>
    <row r="61" spans="2:14" ht="16.5" thickBot="1" x14ac:dyDescent="0.3">
      <c r="B61" s="5"/>
      <c r="C61" s="9"/>
      <c r="D61" s="9"/>
      <c r="E61" s="9"/>
      <c r="F61" s="9"/>
      <c r="G61" s="9"/>
      <c r="H61" s="79"/>
      <c r="I61" s="21"/>
      <c r="J61" s="21"/>
      <c r="K61" s="21"/>
      <c r="L61" s="21"/>
      <c r="M61" s="21"/>
      <c r="N61" s="6"/>
    </row>
    <row r="62" spans="2:14" ht="15.75" x14ac:dyDescent="0.25">
      <c r="B62" s="7" t="s">
        <v>7</v>
      </c>
      <c r="C62" s="1">
        <v>1</v>
      </c>
      <c r="D62" s="1">
        <v>2</v>
      </c>
      <c r="E62" s="1">
        <v>3</v>
      </c>
      <c r="F62" s="1">
        <v>4</v>
      </c>
      <c r="G62" s="1">
        <v>5</v>
      </c>
      <c r="H62" s="77">
        <v>6</v>
      </c>
      <c r="I62" s="160" t="s">
        <v>235</v>
      </c>
      <c r="J62" s="161"/>
      <c r="K62" s="161"/>
      <c r="L62" s="161"/>
      <c r="M62" s="161"/>
      <c r="N62" s="162"/>
    </row>
    <row r="63" spans="2:14" ht="15.75" x14ac:dyDescent="0.25">
      <c r="B63" s="87" t="s">
        <v>10</v>
      </c>
      <c r="C63" s="19">
        <v>41</v>
      </c>
      <c r="D63" s="19">
        <v>42</v>
      </c>
      <c r="E63" s="19">
        <v>43</v>
      </c>
      <c r="F63" s="19">
        <v>44</v>
      </c>
      <c r="G63" s="19">
        <v>44</v>
      </c>
      <c r="H63" s="95">
        <v>44</v>
      </c>
      <c r="I63" s="163"/>
      <c r="J63" s="164"/>
      <c r="K63" s="164"/>
      <c r="L63" s="164"/>
      <c r="M63" s="164"/>
      <c r="N63" s="165"/>
    </row>
    <row r="64" spans="2:14" ht="16.5" thickBot="1" x14ac:dyDescent="0.3">
      <c r="B64" s="94" t="s">
        <v>12</v>
      </c>
      <c r="C64" s="93">
        <v>70</v>
      </c>
      <c r="D64" s="93">
        <v>66</v>
      </c>
      <c r="E64" s="93">
        <v>68</v>
      </c>
      <c r="F64" s="93">
        <v>64</v>
      </c>
      <c r="G64" s="93">
        <v>69</v>
      </c>
      <c r="H64" s="97">
        <v>71</v>
      </c>
      <c r="I64" s="166"/>
      <c r="J64" s="167"/>
      <c r="K64" s="167"/>
      <c r="L64" s="167"/>
      <c r="M64" s="167"/>
      <c r="N64" s="168"/>
    </row>
    <row r="65" spans="2:14" ht="15.75" thickBot="1" x14ac:dyDescent="0.3"/>
    <row r="66" spans="2:14" ht="15.75" x14ac:dyDescent="0.25">
      <c r="B66" s="2" t="s">
        <v>0</v>
      </c>
      <c r="C66" s="175" t="s">
        <v>202</v>
      </c>
      <c r="D66" s="176"/>
      <c r="E66" s="177" t="s">
        <v>1</v>
      </c>
      <c r="F66" s="178"/>
      <c r="G66" s="11">
        <v>140</v>
      </c>
      <c r="H66" s="179" t="s">
        <v>2</v>
      </c>
      <c r="I66" s="180"/>
      <c r="J66" s="181"/>
      <c r="K66" s="13">
        <v>140</v>
      </c>
      <c r="L66" s="3"/>
      <c r="M66" s="80" t="s">
        <v>11</v>
      </c>
      <c r="N66" s="98">
        <v>45352</v>
      </c>
    </row>
    <row r="67" spans="2:14" ht="15.75" x14ac:dyDescent="0.25">
      <c r="B67" s="4" t="s">
        <v>3</v>
      </c>
      <c r="C67" s="10">
        <v>23471</v>
      </c>
      <c r="D67" s="169" t="s">
        <v>57</v>
      </c>
      <c r="E67" s="170"/>
      <c r="F67" s="171"/>
      <c r="G67" s="18" t="s">
        <v>236</v>
      </c>
      <c r="H67" s="172" t="s">
        <v>4</v>
      </c>
      <c r="I67" s="173"/>
      <c r="J67" s="174"/>
      <c r="K67" s="10" t="s">
        <v>236</v>
      </c>
      <c r="L67" s="15"/>
      <c r="M67" s="15"/>
      <c r="N67" s="16"/>
    </row>
    <row r="68" spans="2:14" ht="15.75" x14ac:dyDescent="0.25">
      <c r="B68" s="4" t="s">
        <v>5</v>
      </c>
      <c r="C68" s="19" t="s">
        <v>236</v>
      </c>
      <c r="D68" s="169" t="s">
        <v>8</v>
      </c>
      <c r="E68" s="170"/>
      <c r="F68" s="171"/>
      <c r="G68" s="17">
        <v>0.28000000000000003</v>
      </c>
      <c r="H68" s="172" t="s">
        <v>9</v>
      </c>
      <c r="I68" s="173"/>
      <c r="J68" s="174"/>
      <c r="K68" s="12">
        <v>0.85</v>
      </c>
      <c r="L68" s="172" t="s">
        <v>6</v>
      </c>
      <c r="M68" s="174"/>
      <c r="N68" s="20">
        <v>3.44</v>
      </c>
    </row>
    <row r="69" spans="2:14" ht="16.5" thickBot="1" x14ac:dyDescent="0.3">
      <c r="B69" s="5"/>
      <c r="C69" s="9"/>
      <c r="D69" s="9"/>
      <c r="E69" s="9"/>
      <c r="F69" s="9"/>
      <c r="G69" s="9"/>
      <c r="H69" s="79"/>
      <c r="I69" s="21"/>
      <c r="J69" s="21"/>
      <c r="K69" s="21"/>
      <c r="L69" s="21"/>
      <c r="M69" s="21"/>
      <c r="N69" s="6"/>
    </row>
    <row r="70" spans="2:14" ht="15.75" x14ac:dyDescent="0.25">
      <c r="B70" s="7" t="s">
        <v>7</v>
      </c>
      <c r="C70" s="1">
        <v>1</v>
      </c>
      <c r="D70" s="1">
        <v>2</v>
      </c>
      <c r="E70" s="1">
        <v>3</v>
      </c>
      <c r="F70" s="1">
        <v>4</v>
      </c>
      <c r="G70" s="1">
        <v>5</v>
      </c>
      <c r="H70" s="77">
        <v>6</v>
      </c>
      <c r="I70" s="160" t="s">
        <v>237</v>
      </c>
      <c r="J70" s="161"/>
      <c r="K70" s="161"/>
      <c r="L70" s="161"/>
      <c r="M70" s="161"/>
      <c r="N70" s="162"/>
    </row>
    <row r="71" spans="2:14" ht="15.75" x14ac:dyDescent="0.25">
      <c r="B71" s="87" t="s">
        <v>10</v>
      </c>
      <c r="C71" s="19"/>
      <c r="D71" s="19"/>
      <c r="E71" s="19"/>
      <c r="F71" s="19"/>
      <c r="G71" s="19"/>
      <c r="H71" s="95"/>
      <c r="I71" s="163"/>
      <c r="J71" s="164"/>
      <c r="K71" s="164"/>
      <c r="L71" s="164"/>
      <c r="M71" s="164"/>
      <c r="N71" s="165"/>
    </row>
    <row r="72" spans="2:14" ht="16.5" thickBot="1" x14ac:dyDescent="0.3">
      <c r="B72" s="94" t="s">
        <v>12</v>
      </c>
      <c r="C72" s="93"/>
      <c r="D72" s="93"/>
      <c r="E72" s="93"/>
      <c r="F72" s="93"/>
      <c r="G72" s="93"/>
      <c r="H72" s="97"/>
      <c r="I72" s="166"/>
      <c r="J72" s="167"/>
      <c r="K72" s="167"/>
      <c r="L72" s="167"/>
      <c r="M72" s="167"/>
      <c r="N72" s="168"/>
    </row>
    <row r="73" spans="2:14" ht="15.75" thickBot="1" x14ac:dyDescent="0.3"/>
    <row r="74" spans="2:14" ht="15.75" x14ac:dyDescent="0.25">
      <c r="B74" s="2" t="s">
        <v>0</v>
      </c>
      <c r="C74" s="175" t="s">
        <v>202</v>
      </c>
      <c r="D74" s="176"/>
      <c r="E74" s="177" t="s">
        <v>1</v>
      </c>
      <c r="F74" s="178"/>
      <c r="G74" s="11">
        <v>140</v>
      </c>
      <c r="H74" s="179" t="s">
        <v>2</v>
      </c>
      <c r="I74" s="180"/>
      <c r="J74" s="181"/>
      <c r="K74" s="13">
        <v>140</v>
      </c>
      <c r="L74" s="3"/>
      <c r="M74" s="80" t="s">
        <v>11</v>
      </c>
      <c r="N74" s="98">
        <v>45359</v>
      </c>
    </row>
    <row r="75" spans="2:14" ht="15.75" x14ac:dyDescent="0.25">
      <c r="B75" s="4" t="s">
        <v>3</v>
      </c>
      <c r="C75" s="10">
        <v>23545</v>
      </c>
      <c r="D75" s="169" t="s">
        <v>57</v>
      </c>
      <c r="E75" s="170"/>
      <c r="F75" s="171"/>
      <c r="G75" s="18">
        <v>3570</v>
      </c>
      <c r="H75" s="172" t="s">
        <v>4</v>
      </c>
      <c r="I75" s="173"/>
      <c r="J75" s="174"/>
      <c r="K75" s="10">
        <v>42</v>
      </c>
      <c r="L75" s="15"/>
      <c r="M75" s="15"/>
      <c r="N75" s="16"/>
    </row>
    <row r="76" spans="2:14" ht="15.75" x14ac:dyDescent="0.25">
      <c r="B76" s="4" t="s">
        <v>5</v>
      </c>
      <c r="C76" s="19">
        <v>34</v>
      </c>
      <c r="D76" s="169" t="s">
        <v>8</v>
      </c>
      <c r="E76" s="170"/>
      <c r="F76" s="171"/>
      <c r="G76" s="17">
        <v>0.28000000000000003</v>
      </c>
      <c r="H76" s="172" t="s">
        <v>9</v>
      </c>
      <c r="I76" s="173"/>
      <c r="J76" s="174"/>
      <c r="K76" s="12">
        <v>0.85</v>
      </c>
      <c r="L76" s="172" t="s">
        <v>6</v>
      </c>
      <c r="M76" s="174"/>
      <c r="N76" s="20">
        <v>3.44</v>
      </c>
    </row>
    <row r="77" spans="2:14" ht="16.5" thickBot="1" x14ac:dyDescent="0.3">
      <c r="B77" s="5"/>
      <c r="C77" s="9"/>
      <c r="D77" s="9"/>
      <c r="E77" s="9"/>
      <c r="F77" s="9"/>
      <c r="G77" s="9"/>
      <c r="H77" s="79"/>
      <c r="I77" s="21"/>
      <c r="J77" s="21"/>
      <c r="K77" s="21"/>
      <c r="L77" s="21"/>
      <c r="M77" s="21"/>
      <c r="N77" s="6"/>
    </row>
    <row r="78" spans="2:14" ht="15.75" x14ac:dyDescent="0.25">
      <c r="B78" s="7" t="s">
        <v>7</v>
      </c>
      <c r="C78" s="1">
        <v>1</v>
      </c>
      <c r="D78" s="1">
        <v>2</v>
      </c>
      <c r="E78" s="1">
        <v>3</v>
      </c>
      <c r="F78" s="1">
        <v>4</v>
      </c>
      <c r="G78" s="1">
        <v>5</v>
      </c>
      <c r="H78" s="77">
        <v>6</v>
      </c>
      <c r="I78" s="160" t="s">
        <v>238</v>
      </c>
      <c r="J78" s="161"/>
      <c r="K78" s="161"/>
      <c r="L78" s="161"/>
      <c r="M78" s="161"/>
      <c r="N78" s="162"/>
    </row>
    <row r="79" spans="2:14" ht="15.75" x14ac:dyDescent="0.25">
      <c r="B79" s="87" t="s">
        <v>10</v>
      </c>
      <c r="C79" s="19">
        <v>42</v>
      </c>
      <c r="D79" s="19">
        <v>42</v>
      </c>
      <c r="E79" s="19">
        <v>44</v>
      </c>
      <c r="F79" s="19">
        <v>43</v>
      </c>
      <c r="G79" s="19">
        <v>43</v>
      </c>
      <c r="H79" s="95">
        <v>44</v>
      </c>
      <c r="I79" s="163"/>
      <c r="J79" s="164"/>
      <c r="K79" s="164"/>
      <c r="L79" s="164"/>
      <c r="M79" s="164"/>
      <c r="N79" s="165"/>
    </row>
    <row r="80" spans="2:14" ht="16.5" thickBot="1" x14ac:dyDescent="0.3">
      <c r="B80" s="94" t="s">
        <v>12</v>
      </c>
      <c r="C80" s="93">
        <v>76</v>
      </c>
      <c r="D80" s="93">
        <v>98</v>
      </c>
      <c r="E80" s="93">
        <v>72</v>
      </c>
      <c r="F80" s="93">
        <v>66</v>
      </c>
      <c r="G80" s="93">
        <v>78</v>
      </c>
      <c r="H80" s="97">
        <v>63</v>
      </c>
      <c r="I80" s="166"/>
      <c r="J80" s="167"/>
      <c r="K80" s="167"/>
      <c r="L80" s="167"/>
      <c r="M80" s="167"/>
      <c r="N80" s="168"/>
    </row>
    <row r="81" spans="2:14" ht="15.75" thickBot="1" x14ac:dyDescent="0.3"/>
    <row r="82" spans="2:14" ht="15.75" x14ac:dyDescent="0.25">
      <c r="B82" s="2" t="s">
        <v>0</v>
      </c>
      <c r="C82" s="175" t="s">
        <v>202</v>
      </c>
      <c r="D82" s="176"/>
      <c r="E82" s="177" t="s">
        <v>1</v>
      </c>
      <c r="F82" s="178"/>
      <c r="G82" s="11">
        <v>140</v>
      </c>
      <c r="H82" s="179" t="s">
        <v>2</v>
      </c>
      <c r="I82" s="180"/>
      <c r="J82" s="181"/>
      <c r="K82" s="13">
        <v>140</v>
      </c>
      <c r="L82" s="3"/>
      <c r="M82" s="80" t="s">
        <v>11</v>
      </c>
      <c r="N82" s="98">
        <v>45366</v>
      </c>
    </row>
    <row r="83" spans="2:14" ht="15.75" x14ac:dyDescent="0.25">
      <c r="B83" s="4" t="s">
        <v>3</v>
      </c>
      <c r="C83" s="10">
        <v>23561</v>
      </c>
      <c r="D83" s="169" t="s">
        <v>57</v>
      </c>
      <c r="E83" s="170"/>
      <c r="F83" s="171"/>
      <c r="G83" s="18" t="s">
        <v>236</v>
      </c>
      <c r="H83" s="172" t="s">
        <v>4</v>
      </c>
      <c r="I83" s="173"/>
      <c r="J83" s="174"/>
      <c r="K83" s="10" t="s">
        <v>236</v>
      </c>
      <c r="L83" s="15"/>
      <c r="M83" s="15"/>
      <c r="N83" s="16"/>
    </row>
    <row r="84" spans="2:14" ht="15.75" x14ac:dyDescent="0.25">
      <c r="B84" s="4" t="s">
        <v>5</v>
      </c>
      <c r="C84" s="19" t="s">
        <v>236</v>
      </c>
      <c r="D84" s="169" t="s">
        <v>8</v>
      </c>
      <c r="E84" s="170"/>
      <c r="F84" s="171"/>
      <c r="G84" s="17">
        <v>0.28000000000000003</v>
      </c>
      <c r="H84" s="172" t="s">
        <v>9</v>
      </c>
      <c r="I84" s="173"/>
      <c r="J84" s="174"/>
      <c r="K84" s="12">
        <v>0.85</v>
      </c>
      <c r="L84" s="172" t="s">
        <v>6</v>
      </c>
      <c r="M84" s="174"/>
      <c r="N84" s="20">
        <v>3.44</v>
      </c>
    </row>
    <row r="85" spans="2:14" ht="16.5" thickBot="1" x14ac:dyDescent="0.3">
      <c r="B85" s="5"/>
      <c r="C85" s="9"/>
      <c r="D85" s="9"/>
      <c r="E85" s="9"/>
      <c r="F85" s="9"/>
      <c r="G85" s="9"/>
      <c r="H85" s="79"/>
      <c r="I85" s="21"/>
      <c r="J85" s="21"/>
      <c r="K85" s="21"/>
      <c r="L85" s="21"/>
      <c r="M85" s="21"/>
      <c r="N85" s="6"/>
    </row>
    <row r="86" spans="2:14" ht="15.75" customHeight="1" x14ac:dyDescent="0.25">
      <c r="B86" s="7" t="s">
        <v>7</v>
      </c>
      <c r="C86" s="1">
        <v>1</v>
      </c>
      <c r="D86" s="1">
        <v>2</v>
      </c>
      <c r="E86" s="1">
        <v>3</v>
      </c>
      <c r="F86" s="1">
        <v>4</v>
      </c>
      <c r="G86" s="1">
        <v>5</v>
      </c>
      <c r="H86" s="77">
        <v>6</v>
      </c>
      <c r="I86" s="160" t="s">
        <v>239</v>
      </c>
      <c r="J86" s="161"/>
      <c r="K86" s="161"/>
      <c r="L86" s="161"/>
      <c r="M86" s="161"/>
      <c r="N86" s="162"/>
    </row>
    <row r="87" spans="2:14" ht="15.75" x14ac:dyDescent="0.25">
      <c r="B87" s="87" t="s">
        <v>10</v>
      </c>
      <c r="C87" s="19"/>
      <c r="D87" s="19"/>
      <c r="E87" s="19"/>
      <c r="F87" s="19"/>
      <c r="G87" s="19"/>
      <c r="H87" s="95"/>
      <c r="I87" s="163"/>
      <c r="J87" s="164"/>
      <c r="K87" s="164"/>
      <c r="L87" s="164"/>
      <c r="M87" s="164"/>
      <c r="N87" s="165"/>
    </row>
    <row r="88" spans="2:14" ht="16.5" thickBot="1" x14ac:dyDescent="0.3">
      <c r="B88" s="94" t="s">
        <v>12</v>
      </c>
      <c r="C88" s="93"/>
      <c r="D88" s="93"/>
      <c r="E88" s="93"/>
      <c r="F88" s="93"/>
      <c r="G88" s="93"/>
      <c r="H88" s="97"/>
      <c r="I88" s="166"/>
      <c r="J88" s="167"/>
      <c r="K88" s="167"/>
      <c r="L88" s="167"/>
      <c r="M88" s="167"/>
      <c r="N88" s="168"/>
    </row>
    <row r="89" spans="2:14" ht="15.75" thickBot="1" x14ac:dyDescent="0.3"/>
    <row r="90" spans="2:14" ht="15.75" x14ac:dyDescent="0.25">
      <c r="B90" s="2" t="s">
        <v>0</v>
      </c>
      <c r="C90" s="175" t="s">
        <v>202</v>
      </c>
      <c r="D90" s="176"/>
      <c r="E90" s="177" t="s">
        <v>1</v>
      </c>
      <c r="F90" s="178"/>
      <c r="G90" s="11">
        <v>140</v>
      </c>
      <c r="H90" s="179" t="s">
        <v>2</v>
      </c>
      <c r="I90" s="180"/>
      <c r="J90" s="181"/>
      <c r="K90" s="13">
        <v>140</v>
      </c>
      <c r="L90" s="3"/>
      <c r="M90" s="80" t="s">
        <v>11</v>
      </c>
      <c r="N90" s="98">
        <v>45374</v>
      </c>
    </row>
    <row r="91" spans="2:14" ht="15.75" x14ac:dyDescent="0.25">
      <c r="B91" s="4" t="s">
        <v>3</v>
      </c>
      <c r="C91" s="10">
        <v>23580</v>
      </c>
      <c r="D91" s="169" t="s">
        <v>57</v>
      </c>
      <c r="E91" s="170"/>
      <c r="F91" s="171"/>
      <c r="G91" s="18" t="s">
        <v>236</v>
      </c>
      <c r="H91" s="172" t="s">
        <v>4</v>
      </c>
      <c r="I91" s="173"/>
      <c r="J91" s="174"/>
      <c r="K91" s="10" t="s">
        <v>236</v>
      </c>
      <c r="L91" s="15"/>
      <c r="M91" s="15"/>
      <c r="N91" s="16"/>
    </row>
    <row r="92" spans="2:14" ht="15.75" x14ac:dyDescent="0.25">
      <c r="B92" s="4" t="s">
        <v>5</v>
      </c>
      <c r="C92" s="19" t="s">
        <v>236</v>
      </c>
      <c r="D92" s="169" t="s">
        <v>8</v>
      </c>
      <c r="E92" s="170"/>
      <c r="F92" s="171"/>
      <c r="G92" s="17">
        <v>0.28000000000000003</v>
      </c>
      <c r="H92" s="172" t="s">
        <v>9</v>
      </c>
      <c r="I92" s="173"/>
      <c r="J92" s="174"/>
      <c r="K92" s="12">
        <v>0.85</v>
      </c>
      <c r="L92" s="172" t="s">
        <v>6</v>
      </c>
      <c r="M92" s="174"/>
      <c r="N92" s="20">
        <v>3.44</v>
      </c>
    </row>
    <row r="93" spans="2:14" ht="16.5" thickBot="1" x14ac:dyDescent="0.3">
      <c r="B93" s="5"/>
      <c r="C93" s="9"/>
      <c r="D93" s="9"/>
      <c r="E93" s="9"/>
      <c r="F93" s="9"/>
      <c r="G93" s="9"/>
      <c r="H93" s="79"/>
      <c r="I93" s="21"/>
      <c r="J93" s="21"/>
      <c r="K93" s="21"/>
      <c r="L93" s="21"/>
      <c r="M93" s="21"/>
      <c r="N93" s="6"/>
    </row>
    <row r="94" spans="2:14" ht="15.75" x14ac:dyDescent="0.25">
      <c r="B94" s="7" t="s">
        <v>7</v>
      </c>
      <c r="C94" s="1">
        <v>1</v>
      </c>
      <c r="D94" s="1">
        <v>2</v>
      </c>
      <c r="E94" s="1">
        <v>3</v>
      </c>
      <c r="F94" s="1">
        <v>4</v>
      </c>
      <c r="G94" s="1">
        <v>5</v>
      </c>
      <c r="H94" s="77">
        <v>6</v>
      </c>
      <c r="I94" s="160" t="s">
        <v>240</v>
      </c>
      <c r="J94" s="161"/>
      <c r="K94" s="161"/>
      <c r="L94" s="161"/>
      <c r="M94" s="161"/>
      <c r="N94" s="162"/>
    </row>
    <row r="95" spans="2:14" ht="15.75" x14ac:dyDescent="0.25">
      <c r="B95" s="87" t="s">
        <v>10</v>
      </c>
      <c r="C95" s="19"/>
      <c r="D95" s="19"/>
      <c r="E95" s="19"/>
      <c r="F95" s="19"/>
      <c r="G95" s="19"/>
      <c r="H95" s="95"/>
      <c r="I95" s="163"/>
      <c r="J95" s="164"/>
      <c r="K95" s="164"/>
      <c r="L95" s="164"/>
      <c r="M95" s="164"/>
      <c r="N95" s="165"/>
    </row>
    <row r="96" spans="2:14" ht="16.5" thickBot="1" x14ac:dyDescent="0.3">
      <c r="B96" s="94" t="s">
        <v>12</v>
      </c>
      <c r="C96" s="93"/>
      <c r="D96" s="93"/>
      <c r="E96" s="93"/>
      <c r="F96" s="93"/>
      <c r="G96" s="93"/>
      <c r="H96" s="97"/>
      <c r="I96" s="166"/>
      <c r="J96" s="167"/>
      <c r="K96" s="167"/>
      <c r="L96" s="167"/>
      <c r="M96" s="167"/>
      <c r="N96" s="168"/>
    </row>
    <row r="97" spans="2:14" ht="15.75" thickBot="1" x14ac:dyDescent="0.3"/>
    <row r="98" spans="2:14" ht="15.75" x14ac:dyDescent="0.25">
      <c r="B98" s="2" t="s">
        <v>0</v>
      </c>
      <c r="C98" s="175" t="s">
        <v>202</v>
      </c>
      <c r="D98" s="176"/>
      <c r="E98" s="177" t="s">
        <v>1</v>
      </c>
      <c r="F98" s="178"/>
      <c r="G98" s="11">
        <v>140</v>
      </c>
      <c r="H98" s="179" t="s">
        <v>2</v>
      </c>
      <c r="I98" s="180"/>
      <c r="J98" s="181"/>
      <c r="K98" s="13">
        <v>140</v>
      </c>
      <c r="L98" s="3"/>
      <c r="M98" s="80" t="s">
        <v>11</v>
      </c>
      <c r="N98" s="98">
        <v>45381</v>
      </c>
    </row>
    <row r="99" spans="2:14" ht="15.75" x14ac:dyDescent="0.25">
      <c r="B99" s="4" t="s">
        <v>3</v>
      </c>
      <c r="C99" s="10">
        <v>23658</v>
      </c>
      <c r="D99" s="169" t="s">
        <v>57</v>
      </c>
      <c r="E99" s="170"/>
      <c r="F99" s="171"/>
      <c r="G99" s="18">
        <v>9020</v>
      </c>
      <c r="H99" s="172" t="s">
        <v>4</v>
      </c>
      <c r="I99" s="173"/>
      <c r="J99" s="174"/>
      <c r="K99" s="10">
        <v>63</v>
      </c>
      <c r="L99" s="15"/>
      <c r="M99" s="15"/>
      <c r="N99" s="16"/>
    </row>
    <row r="100" spans="2:14" ht="15.75" x14ac:dyDescent="0.25">
      <c r="B100" s="4" t="s">
        <v>5</v>
      </c>
      <c r="C100" s="19">
        <v>72</v>
      </c>
      <c r="D100" s="169" t="s">
        <v>8</v>
      </c>
      <c r="E100" s="170"/>
      <c r="F100" s="171"/>
      <c r="G100" s="17">
        <v>0.28000000000000003</v>
      </c>
      <c r="H100" s="172" t="s">
        <v>9</v>
      </c>
      <c r="I100" s="173"/>
      <c r="J100" s="174"/>
      <c r="K100" s="12">
        <v>0.85</v>
      </c>
      <c r="L100" s="172" t="s">
        <v>6</v>
      </c>
      <c r="M100" s="174"/>
      <c r="N100" s="20">
        <v>3.44</v>
      </c>
    </row>
    <row r="101" spans="2:14" ht="16.5" thickBot="1" x14ac:dyDescent="0.3">
      <c r="B101" s="5"/>
      <c r="C101" s="9"/>
      <c r="D101" s="9"/>
      <c r="E101" s="9"/>
      <c r="F101" s="9"/>
      <c r="G101" s="9"/>
      <c r="H101" s="79"/>
      <c r="I101" s="21"/>
      <c r="J101" s="21"/>
      <c r="K101" s="21"/>
      <c r="L101" s="21"/>
      <c r="M101" s="21"/>
      <c r="N101" s="6"/>
    </row>
    <row r="102" spans="2:14" ht="15.75" x14ac:dyDescent="0.25">
      <c r="B102" s="7" t="s">
        <v>7</v>
      </c>
      <c r="C102" s="1">
        <v>1</v>
      </c>
      <c r="D102" s="1">
        <v>2</v>
      </c>
      <c r="E102" s="1">
        <v>3</v>
      </c>
      <c r="F102" s="1">
        <v>4</v>
      </c>
      <c r="G102" s="1">
        <v>5</v>
      </c>
      <c r="H102" s="77">
        <v>6</v>
      </c>
      <c r="I102" s="160" t="s">
        <v>241</v>
      </c>
      <c r="J102" s="161"/>
      <c r="K102" s="161"/>
      <c r="L102" s="161"/>
      <c r="M102" s="161"/>
      <c r="N102" s="162"/>
    </row>
    <row r="103" spans="2:14" ht="15.75" x14ac:dyDescent="0.25">
      <c r="B103" s="87" t="s">
        <v>10</v>
      </c>
      <c r="C103" s="19">
        <v>42</v>
      </c>
      <c r="D103" s="19">
        <v>42</v>
      </c>
      <c r="E103" s="19">
        <v>43</v>
      </c>
      <c r="F103" s="19">
        <v>43</v>
      </c>
      <c r="G103" s="19">
        <v>42</v>
      </c>
      <c r="H103" s="95">
        <v>44</v>
      </c>
      <c r="I103" s="163"/>
      <c r="J103" s="164"/>
      <c r="K103" s="164"/>
      <c r="L103" s="164"/>
      <c r="M103" s="164"/>
      <c r="N103" s="165"/>
    </row>
    <row r="104" spans="2:14" ht="16.5" thickBot="1" x14ac:dyDescent="0.3">
      <c r="B104" s="94" t="s">
        <v>12</v>
      </c>
      <c r="C104" s="93">
        <v>75</v>
      </c>
      <c r="D104" s="93">
        <v>102</v>
      </c>
      <c r="E104" s="93">
        <v>126</v>
      </c>
      <c r="F104" s="93">
        <v>71</v>
      </c>
      <c r="G104" s="93">
        <v>76</v>
      </c>
      <c r="H104" s="97">
        <v>72</v>
      </c>
      <c r="I104" s="166"/>
      <c r="J104" s="167"/>
      <c r="K104" s="167"/>
      <c r="L104" s="167"/>
      <c r="M104" s="167"/>
      <c r="N104" s="168"/>
    </row>
    <row r="105" spans="2:14" ht="15.75" thickBot="1" x14ac:dyDescent="0.3"/>
    <row r="106" spans="2:14" ht="15.75" x14ac:dyDescent="0.25">
      <c r="B106" s="2" t="s">
        <v>0</v>
      </c>
      <c r="C106" s="175" t="s">
        <v>202</v>
      </c>
      <c r="D106" s="176"/>
      <c r="E106" s="177" t="s">
        <v>1</v>
      </c>
      <c r="F106" s="178"/>
      <c r="G106" s="11">
        <v>140</v>
      </c>
      <c r="H106" s="179" t="s">
        <v>2</v>
      </c>
      <c r="I106" s="180"/>
      <c r="J106" s="181"/>
      <c r="K106" s="13">
        <v>140</v>
      </c>
      <c r="L106" s="3"/>
      <c r="M106" s="80" t="s">
        <v>11</v>
      </c>
      <c r="N106" s="98">
        <v>45388</v>
      </c>
    </row>
    <row r="107" spans="2:14" ht="15.75" x14ac:dyDescent="0.25">
      <c r="B107" s="4" t="s">
        <v>3</v>
      </c>
      <c r="C107" s="10">
        <v>23825</v>
      </c>
      <c r="D107" s="169" t="s">
        <v>57</v>
      </c>
      <c r="E107" s="170"/>
      <c r="F107" s="171"/>
      <c r="G107" s="18">
        <v>8870</v>
      </c>
      <c r="H107" s="172" t="s">
        <v>4</v>
      </c>
      <c r="I107" s="173"/>
      <c r="J107" s="174"/>
      <c r="K107" s="10">
        <v>63</v>
      </c>
      <c r="L107" s="15"/>
      <c r="M107" s="15"/>
      <c r="N107" s="16"/>
    </row>
    <row r="108" spans="2:14" ht="15.75" x14ac:dyDescent="0.25">
      <c r="B108" s="4" t="s">
        <v>5</v>
      </c>
      <c r="C108" s="19">
        <v>72</v>
      </c>
      <c r="D108" s="169" t="s">
        <v>8</v>
      </c>
      <c r="E108" s="170"/>
      <c r="F108" s="171"/>
      <c r="G108" s="17">
        <v>0.28000000000000003</v>
      </c>
      <c r="H108" s="172" t="s">
        <v>9</v>
      </c>
      <c r="I108" s="173"/>
      <c r="J108" s="174"/>
      <c r="K108" s="12">
        <v>0.85</v>
      </c>
      <c r="L108" s="172" t="s">
        <v>6</v>
      </c>
      <c r="M108" s="174"/>
      <c r="N108" s="20">
        <v>3.44</v>
      </c>
    </row>
    <row r="109" spans="2:14" ht="16.5" thickBot="1" x14ac:dyDescent="0.3">
      <c r="B109" s="5"/>
      <c r="C109" s="9"/>
      <c r="D109" s="9"/>
      <c r="E109" s="9"/>
      <c r="F109" s="9"/>
      <c r="G109" s="9"/>
      <c r="H109" s="79"/>
      <c r="I109" s="21"/>
      <c r="J109" s="21"/>
      <c r="K109" s="21"/>
      <c r="L109" s="21"/>
      <c r="M109" s="21"/>
      <c r="N109" s="6"/>
    </row>
    <row r="110" spans="2:14" ht="15.75" x14ac:dyDescent="0.25">
      <c r="B110" s="7" t="s">
        <v>7</v>
      </c>
      <c r="C110" s="1">
        <v>1</v>
      </c>
      <c r="D110" s="1">
        <v>2</v>
      </c>
      <c r="E110" s="1">
        <v>3</v>
      </c>
      <c r="F110" s="1">
        <v>4</v>
      </c>
      <c r="G110" s="1">
        <v>5</v>
      </c>
      <c r="H110" s="77">
        <v>6</v>
      </c>
      <c r="I110" s="160" t="s">
        <v>242</v>
      </c>
      <c r="J110" s="161"/>
      <c r="K110" s="161"/>
      <c r="L110" s="161"/>
      <c r="M110" s="161"/>
      <c r="N110" s="162"/>
    </row>
    <row r="111" spans="2:14" ht="15.75" x14ac:dyDescent="0.25">
      <c r="B111" s="87" t="s">
        <v>10</v>
      </c>
      <c r="C111" s="19">
        <v>41</v>
      </c>
      <c r="D111" s="19">
        <v>42</v>
      </c>
      <c r="E111" s="19">
        <v>43</v>
      </c>
      <c r="F111" s="19">
        <v>44</v>
      </c>
      <c r="G111" s="19">
        <v>43</v>
      </c>
      <c r="H111" s="95">
        <v>44</v>
      </c>
      <c r="I111" s="163"/>
      <c r="J111" s="164"/>
      <c r="K111" s="164"/>
      <c r="L111" s="164"/>
      <c r="M111" s="164"/>
      <c r="N111" s="165"/>
    </row>
    <row r="112" spans="2:14" ht="16.5" thickBot="1" x14ac:dyDescent="0.3">
      <c r="B112" s="94" t="s">
        <v>12</v>
      </c>
      <c r="C112" s="93">
        <v>77</v>
      </c>
      <c r="D112" s="93">
        <v>102</v>
      </c>
      <c r="E112" s="93">
        <v>120</v>
      </c>
      <c r="F112" s="93">
        <v>70</v>
      </c>
      <c r="G112" s="93">
        <v>80</v>
      </c>
      <c r="H112" s="97">
        <v>73</v>
      </c>
      <c r="I112" s="166"/>
      <c r="J112" s="167"/>
      <c r="K112" s="167"/>
      <c r="L112" s="167"/>
      <c r="M112" s="167"/>
      <c r="N112" s="168"/>
    </row>
    <row r="113" spans="2:14" ht="15.75" thickBot="1" x14ac:dyDescent="0.3"/>
    <row r="114" spans="2:14" ht="15.75" x14ac:dyDescent="0.25">
      <c r="B114" s="2" t="s">
        <v>0</v>
      </c>
      <c r="C114" s="175" t="s">
        <v>202</v>
      </c>
      <c r="D114" s="176"/>
      <c r="E114" s="177" t="s">
        <v>1</v>
      </c>
      <c r="F114" s="178"/>
      <c r="G114" s="11">
        <v>140</v>
      </c>
      <c r="H114" s="179" t="s">
        <v>2</v>
      </c>
      <c r="I114" s="180"/>
      <c r="J114" s="181"/>
      <c r="K114" s="13">
        <v>140</v>
      </c>
      <c r="L114" s="3"/>
      <c r="M114" s="80" t="s">
        <v>11</v>
      </c>
      <c r="N114" s="98">
        <v>45395</v>
      </c>
    </row>
    <row r="115" spans="2:14" ht="15.75" x14ac:dyDescent="0.25">
      <c r="B115" s="4" t="s">
        <v>3</v>
      </c>
      <c r="C115" s="10">
        <v>23993</v>
      </c>
      <c r="D115" s="169" t="s">
        <v>57</v>
      </c>
      <c r="E115" s="170"/>
      <c r="F115" s="171"/>
      <c r="G115" s="18">
        <v>8720</v>
      </c>
      <c r="H115" s="172" t="s">
        <v>4</v>
      </c>
      <c r="I115" s="173"/>
      <c r="J115" s="174"/>
      <c r="K115" s="10">
        <v>62</v>
      </c>
      <c r="L115" s="15"/>
      <c r="M115" s="15"/>
      <c r="N115" s="16"/>
    </row>
    <row r="116" spans="2:14" ht="15.75" x14ac:dyDescent="0.25">
      <c r="B116" s="4" t="s">
        <v>5</v>
      </c>
      <c r="C116" s="19">
        <v>72</v>
      </c>
      <c r="D116" s="169" t="s">
        <v>8</v>
      </c>
      <c r="E116" s="170"/>
      <c r="F116" s="171"/>
      <c r="G116" s="17">
        <v>0.28000000000000003</v>
      </c>
      <c r="H116" s="172" t="s">
        <v>9</v>
      </c>
      <c r="I116" s="173"/>
      <c r="J116" s="174"/>
      <c r="K116" s="12">
        <v>0.85</v>
      </c>
      <c r="L116" s="172" t="s">
        <v>6</v>
      </c>
      <c r="M116" s="174"/>
      <c r="N116" s="20">
        <v>3.44</v>
      </c>
    </row>
    <row r="117" spans="2:14" ht="16.5" thickBot="1" x14ac:dyDescent="0.3">
      <c r="B117" s="5"/>
      <c r="C117" s="9"/>
      <c r="D117" s="9"/>
      <c r="E117" s="9"/>
      <c r="F117" s="9"/>
      <c r="G117" s="9"/>
      <c r="H117" s="79"/>
      <c r="I117" s="21"/>
      <c r="J117" s="21"/>
      <c r="K117" s="21"/>
      <c r="L117" s="21"/>
      <c r="M117" s="21"/>
      <c r="N117" s="6"/>
    </row>
    <row r="118" spans="2:14" ht="15.75" customHeight="1" x14ac:dyDescent="0.25">
      <c r="B118" s="7" t="s">
        <v>7</v>
      </c>
      <c r="C118" s="1">
        <v>1</v>
      </c>
      <c r="D118" s="1">
        <v>2</v>
      </c>
      <c r="E118" s="1">
        <v>3</v>
      </c>
      <c r="F118" s="1">
        <v>4</v>
      </c>
      <c r="G118" s="1">
        <v>5</v>
      </c>
      <c r="H118" s="77">
        <v>6</v>
      </c>
      <c r="I118" s="160" t="s">
        <v>243</v>
      </c>
      <c r="J118" s="161"/>
      <c r="K118" s="161"/>
      <c r="L118" s="161"/>
      <c r="M118" s="161"/>
      <c r="N118" s="162"/>
    </row>
    <row r="119" spans="2:14" ht="15.75" x14ac:dyDescent="0.25">
      <c r="B119" s="87" t="s">
        <v>10</v>
      </c>
      <c r="C119" s="19">
        <v>44</v>
      </c>
      <c r="D119" s="19">
        <v>43</v>
      </c>
      <c r="E119" s="19">
        <v>44</v>
      </c>
      <c r="F119" s="19">
        <v>43</v>
      </c>
      <c r="G119" s="19">
        <v>42</v>
      </c>
      <c r="H119" s="95">
        <v>43</v>
      </c>
      <c r="I119" s="163"/>
      <c r="J119" s="164"/>
      <c r="K119" s="164"/>
      <c r="L119" s="164"/>
      <c r="M119" s="164"/>
      <c r="N119" s="165"/>
    </row>
    <row r="120" spans="2:14" ht="16.5" thickBot="1" x14ac:dyDescent="0.3">
      <c r="B120" s="94" t="s">
        <v>12</v>
      </c>
      <c r="C120" s="93">
        <v>61</v>
      </c>
      <c r="D120" s="93">
        <v>88</v>
      </c>
      <c r="E120" s="93">
        <v>76</v>
      </c>
      <c r="F120" s="93">
        <v>57</v>
      </c>
      <c r="G120" s="93">
        <v>79</v>
      </c>
      <c r="H120" s="97">
        <v>60</v>
      </c>
      <c r="I120" s="166"/>
      <c r="J120" s="167"/>
      <c r="K120" s="167"/>
      <c r="L120" s="167"/>
      <c r="M120" s="167"/>
      <c r="N120" s="168"/>
    </row>
    <row r="121" spans="2:14" ht="15.75" thickBot="1" x14ac:dyDescent="0.3"/>
    <row r="122" spans="2:14" ht="15.75" x14ac:dyDescent="0.25">
      <c r="B122" s="2" t="s">
        <v>0</v>
      </c>
      <c r="C122" s="175" t="s">
        <v>202</v>
      </c>
      <c r="D122" s="176"/>
      <c r="E122" s="177" t="s">
        <v>1</v>
      </c>
      <c r="F122" s="178"/>
      <c r="G122" s="11">
        <v>140</v>
      </c>
      <c r="H122" s="179" t="s">
        <v>2</v>
      </c>
      <c r="I122" s="180"/>
      <c r="J122" s="181"/>
      <c r="K122" s="13">
        <v>140</v>
      </c>
      <c r="L122" s="3"/>
      <c r="M122" s="80" t="s">
        <v>11</v>
      </c>
      <c r="N122" s="98">
        <v>45402</v>
      </c>
    </row>
    <row r="123" spans="2:14" ht="15.75" x14ac:dyDescent="0.25">
      <c r="B123" s="4" t="s">
        <v>3</v>
      </c>
      <c r="C123" s="10">
        <v>24163</v>
      </c>
      <c r="D123" s="169" t="s">
        <v>57</v>
      </c>
      <c r="E123" s="170"/>
      <c r="F123" s="171"/>
      <c r="G123" s="18">
        <v>9080</v>
      </c>
      <c r="H123" s="172" t="s">
        <v>4</v>
      </c>
      <c r="I123" s="173"/>
      <c r="J123" s="174"/>
      <c r="K123" s="10">
        <v>63</v>
      </c>
      <c r="L123" s="15"/>
      <c r="M123" s="15"/>
      <c r="N123" s="16"/>
    </row>
    <row r="124" spans="2:14" ht="15.75" x14ac:dyDescent="0.25">
      <c r="B124" s="4" t="s">
        <v>5</v>
      </c>
      <c r="C124" s="19">
        <v>76</v>
      </c>
      <c r="D124" s="169" t="s">
        <v>8</v>
      </c>
      <c r="E124" s="170"/>
      <c r="F124" s="171"/>
      <c r="G124" s="17">
        <v>0.28000000000000003</v>
      </c>
      <c r="H124" s="172" t="s">
        <v>9</v>
      </c>
      <c r="I124" s="173"/>
      <c r="J124" s="174"/>
      <c r="K124" s="12">
        <v>0.85</v>
      </c>
      <c r="L124" s="172" t="s">
        <v>6</v>
      </c>
      <c r="M124" s="174"/>
      <c r="N124" s="20">
        <v>3.03</v>
      </c>
    </row>
    <row r="125" spans="2:14" ht="16.5" thickBot="1" x14ac:dyDescent="0.3">
      <c r="B125" s="5"/>
      <c r="C125" s="9"/>
      <c r="D125" s="9"/>
      <c r="E125" s="9"/>
      <c r="F125" s="9"/>
      <c r="G125" s="9"/>
      <c r="H125" s="79"/>
      <c r="I125" s="21"/>
      <c r="J125" s="21"/>
      <c r="K125" s="21"/>
      <c r="L125" s="21"/>
      <c r="M125" s="21"/>
      <c r="N125" s="6"/>
    </row>
    <row r="126" spans="2:14" ht="15.75" x14ac:dyDescent="0.25">
      <c r="B126" s="7" t="s">
        <v>7</v>
      </c>
      <c r="C126" s="1">
        <v>1</v>
      </c>
      <c r="D126" s="1">
        <v>2</v>
      </c>
      <c r="E126" s="1">
        <v>3</v>
      </c>
      <c r="F126" s="1">
        <v>4</v>
      </c>
      <c r="G126" s="1">
        <v>5</v>
      </c>
      <c r="H126" s="77">
        <v>6</v>
      </c>
      <c r="I126" s="160" t="s">
        <v>244</v>
      </c>
      <c r="J126" s="161"/>
      <c r="K126" s="161"/>
      <c r="L126" s="161"/>
      <c r="M126" s="161"/>
      <c r="N126" s="162"/>
    </row>
    <row r="127" spans="2:14" ht="15.75" x14ac:dyDescent="0.25">
      <c r="B127" s="87" t="s">
        <v>10</v>
      </c>
      <c r="C127" s="19">
        <v>43</v>
      </c>
      <c r="D127" s="19">
        <v>44</v>
      </c>
      <c r="E127" s="19">
        <v>44</v>
      </c>
      <c r="F127" s="19">
        <v>43</v>
      </c>
      <c r="G127" s="19">
        <v>43</v>
      </c>
      <c r="H127" s="95">
        <v>42</v>
      </c>
      <c r="I127" s="163"/>
      <c r="J127" s="164"/>
      <c r="K127" s="164"/>
      <c r="L127" s="164"/>
      <c r="M127" s="164"/>
      <c r="N127" s="165"/>
    </row>
    <row r="128" spans="2:14" ht="16.5" thickBot="1" x14ac:dyDescent="0.3">
      <c r="B128" s="94" t="s">
        <v>12</v>
      </c>
      <c r="C128" s="93">
        <v>68</v>
      </c>
      <c r="D128" s="93">
        <v>81</v>
      </c>
      <c r="E128" s="93">
        <v>80</v>
      </c>
      <c r="F128" s="93">
        <v>67</v>
      </c>
      <c r="G128" s="93">
        <v>71</v>
      </c>
      <c r="H128" s="97">
        <v>69</v>
      </c>
      <c r="I128" s="166"/>
      <c r="J128" s="167"/>
      <c r="K128" s="167"/>
      <c r="L128" s="167"/>
      <c r="M128" s="167"/>
      <c r="N128" s="168"/>
    </row>
    <row r="129" spans="2:14" ht="15.75" thickBot="1" x14ac:dyDescent="0.3"/>
    <row r="130" spans="2:14" ht="15.75" x14ac:dyDescent="0.25">
      <c r="B130" s="2" t="s">
        <v>0</v>
      </c>
      <c r="C130" s="175" t="s">
        <v>202</v>
      </c>
      <c r="D130" s="176"/>
      <c r="E130" s="177" t="s">
        <v>1</v>
      </c>
      <c r="F130" s="178"/>
      <c r="G130" s="11">
        <v>140</v>
      </c>
      <c r="H130" s="179" t="s">
        <v>2</v>
      </c>
      <c r="I130" s="180"/>
      <c r="J130" s="181"/>
      <c r="K130" s="13">
        <v>140</v>
      </c>
      <c r="L130" s="3"/>
      <c r="M130" s="80" t="s">
        <v>11</v>
      </c>
      <c r="N130" s="98">
        <v>45409</v>
      </c>
    </row>
    <row r="131" spans="2:14" ht="15.75" x14ac:dyDescent="0.25">
      <c r="B131" s="4" t="s">
        <v>3</v>
      </c>
      <c r="C131" s="10">
        <v>24332</v>
      </c>
      <c r="D131" s="169" t="s">
        <v>57</v>
      </c>
      <c r="E131" s="170"/>
      <c r="F131" s="171"/>
      <c r="G131" s="18">
        <v>9850</v>
      </c>
      <c r="H131" s="172" t="s">
        <v>4</v>
      </c>
      <c r="I131" s="173"/>
      <c r="J131" s="174"/>
      <c r="K131" s="10">
        <v>64</v>
      </c>
      <c r="L131" s="15"/>
      <c r="M131" s="15"/>
      <c r="N131" s="16"/>
    </row>
    <row r="132" spans="2:14" ht="15.75" x14ac:dyDescent="0.25">
      <c r="B132" s="4" t="s">
        <v>5</v>
      </c>
      <c r="C132" s="19">
        <v>80</v>
      </c>
      <c r="D132" s="169" t="s">
        <v>8</v>
      </c>
      <c r="E132" s="170"/>
      <c r="F132" s="171"/>
      <c r="G132" s="17">
        <v>0.28000000000000003</v>
      </c>
      <c r="H132" s="172" t="s">
        <v>9</v>
      </c>
      <c r="I132" s="173"/>
      <c r="J132" s="174"/>
      <c r="K132" s="12">
        <v>0.85</v>
      </c>
      <c r="L132" s="172" t="s">
        <v>6</v>
      </c>
      <c r="M132" s="174"/>
      <c r="N132" s="20">
        <v>3.03</v>
      </c>
    </row>
    <row r="133" spans="2:14" ht="16.5" thickBot="1" x14ac:dyDescent="0.3">
      <c r="B133" s="5"/>
      <c r="C133" s="9"/>
      <c r="D133" s="9"/>
      <c r="E133" s="9"/>
      <c r="F133" s="9"/>
      <c r="G133" s="9"/>
      <c r="H133" s="79"/>
      <c r="I133" s="21"/>
      <c r="J133" s="21"/>
      <c r="K133" s="21"/>
      <c r="L133" s="21"/>
      <c r="M133" s="21"/>
      <c r="N133" s="6"/>
    </row>
    <row r="134" spans="2:14" ht="15.75" x14ac:dyDescent="0.25">
      <c r="B134" s="7" t="s">
        <v>7</v>
      </c>
      <c r="C134" s="1">
        <v>1</v>
      </c>
      <c r="D134" s="1">
        <v>2</v>
      </c>
      <c r="E134" s="1">
        <v>3</v>
      </c>
      <c r="F134" s="1">
        <v>4</v>
      </c>
      <c r="G134" s="1">
        <v>5</v>
      </c>
      <c r="H134" s="77">
        <v>6</v>
      </c>
      <c r="I134" s="160" t="s">
        <v>245</v>
      </c>
      <c r="J134" s="161"/>
      <c r="K134" s="161"/>
      <c r="L134" s="161"/>
      <c r="M134" s="161"/>
      <c r="N134" s="162"/>
    </row>
    <row r="135" spans="2:14" ht="15.75" x14ac:dyDescent="0.25">
      <c r="B135" s="87" t="s">
        <v>10</v>
      </c>
      <c r="C135" s="19">
        <v>44</v>
      </c>
      <c r="D135" s="19">
        <v>43</v>
      </c>
      <c r="E135" s="19">
        <v>43</v>
      </c>
      <c r="F135" s="19">
        <v>44</v>
      </c>
      <c r="G135" s="19">
        <v>43</v>
      </c>
      <c r="H135" s="95">
        <v>43</v>
      </c>
      <c r="I135" s="163"/>
      <c r="J135" s="164"/>
      <c r="K135" s="164"/>
      <c r="L135" s="164"/>
      <c r="M135" s="164"/>
      <c r="N135" s="165"/>
    </row>
    <row r="136" spans="2:14" ht="16.5" thickBot="1" x14ac:dyDescent="0.3">
      <c r="B136" s="94" t="s">
        <v>12</v>
      </c>
      <c r="C136" s="93">
        <v>78</v>
      </c>
      <c r="D136" s="93">
        <v>92</v>
      </c>
      <c r="E136" s="93">
        <v>86</v>
      </c>
      <c r="F136" s="93">
        <v>60</v>
      </c>
      <c r="G136" s="93">
        <v>62</v>
      </c>
      <c r="H136" s="97">
        <v>52</v>
      </c>
      <c r="I136" s="166"/>
      <c r="J136" s="167"/>
      <c r="K136" s="167"/>
      <c r="L136" s="167"/>
      <c r="M136" s="167"/>
      <c r="N136" s="168"/>
    </row>
    <row r="137" spans="2:14" ht="15.75" thickBot="1" x14ac:dyDescent="0.3"/>
    <row r="138" spans="2:14" ht="15.75" x14ac:dyDescent="0.25">
      <c r="B138" s="2" t="s">
        <v>0</v>
      </c>
      <c r="C138" s="175" t="s">
        <v>202</v>
      </c>
      <c r="D138" s="176"/>
      <c r="E138" s="177" t="s">
        <v>1</v>
      </c>
      <c r="F138" s="178"/>
      <c r="G138" s="11">
        <v>140</v>
      </c>
      <c r="H138" s="179" t="s">
        <v>2</v>
      </c>
      <c r="I138" s="180"/>
      <c r="J138" s="181"/>
      <c r="K138" s="13">
        <v>140</v>
      </c>
      <c r="L138" s="3"/>
      <c r="M138" s="80" t="s">
        <v>11</v>
      </c>
      <c r="N138" s="98">
        <v>45415</v>
      </c>
    </row>
    <row r="139" spans="2:14" ht="15.75" x14ac:dyDescent="0.25">
      <c r="B139" s="4" t="s">
        <v>3</v>
      </c>
      <c r="C139" s="10">
        <v>24450</v>
      </c>
      <c r="D139" s="169" t="s">
        <v>57</v>
      </c>
      <c r="E139" s="170"/>
      <c r="F139" s="171"/>
      <c r="G139" s="18">
        <v>9850</v>
      </c>
      <c r="H139" s="172" t="s">
        <v>4</v>
      </c>
      <c r="I139" s="173"/>
      <c r="J139" s="174"/>
      <c r="K139" s="10">
        <v>64</v>
      </c>
      <c r="L139" s="15"/>
      <c r="M139" s="15"/>
      <c r="N139" s="16"/>
    </row>
    <row r="140" spans="2:14" ht="15.75" x14ac:dyDescent="0.25">
      <c r="B140" s="4" t="s">
        <v>5</v>
      </c>
      <c r="C140" s="19">
        <v>80</v>
      </c>
      <c r="D140" s="169" t="s">
        <v>8</v>
      </c>
      <c r="E140" s="170"/>
      <c r="F140" s="171"/>
      <c r="G140" s="17">
        <v>0.28000000000000003</v>
      </c>
      <c r="H140" s="172" t="s">
        <v>9</v>
      </c>
      <c r="I140" s="173"/>
      <c r="J140" s="174"/>
      <c r="K140" s="12">
        <v>0.85</v>
      </c>
      <c r="L140" s="172" t="s">
        <v>6</v>
      </c>
      <c r="M140" s="174"/>
      <c r="N140" s="20">
        <v>3.03</v>
      </c>
    </row>
    <row r="141" spans="2:14" ht="16.5" thickBot="1" x14ac:dyDescent="0.3">
      <c r="B141" s="5"/>
      <c r="C141" s="9"/>
      <c r="D141" s="9"/>
      <c r="E141" s="9"/>
      <c r="F141" s="9"/>
      <c r="G141" s="9"/>
      <c r="H141" s="79"/>
      <c r="I141" s="21"/>
      <c r="J141" s="21"/>
      <c r="K141" s="21"/>
      <c r="L141" s="21"/>
      <c r="M141" s="21"/>
      <c r="N141" s="6"/>
    </row>
    <row r="142" spans="2:14" ht="15.75" x14ac:dyDescent="0.25">
      <c r="B142" s="7" t="s">
        <v>7</v>
      </c>
      <c r="C142" s="1">
        <v>1</v>
      </c>
      <c r="D142" s="1">
        <v>2</v>
      </c>
      <c r="E142" s="1">
        <v>3</v>
      </c>
      <c r="F142" s="1">
        <v>4</v>
      </c>
      <c r="G142" s="1">
        <v>5</v>
      </c>
      <c r="H142" s="77">
        <v>6</v>
      </c>
      <c r="I142" s="160" t="s">
        <v>246</v>
      </c>
      <c r="J142" s="161"/>
      <c r="K142" s="161"/>
      <c r="L142" s="161"/>
      <c r="M142" s="161"/>
      <c r="N142" s="162"/>
    </row>
    <row r="143" spans="2:14" ht="15.75" x14ac:dyDescent="0.25">
      <c r="B143" s="87" t="s">
        <v>10</v>
      </c>
      <c r="C143" s="19">
        <v>43</v>
      </c>
      <c r="D143" s="19">
        <v>44</v>
      </c>
      <c r="E143" s="19">
        <v>44</v>
      </c>
      <c r="F143" s="19">
        <v>44</v>
      </c>
      <c r="G143" s="19">
        <v>43</v>
      </c>
      <c r="H143" s="95">
        <v>44</v>
      </c>
      <c r="I143" s="163"/>
      <c r="J143" s="164"/>
      <c r="K143" s="164"/>
      <c r="L143" s="164"/>
      <c r="M143" s="164"/>
      <c r="N143" s="165"/>
    </row>
    <row r="144" spans="2:14" ht="16.5" thickBot="1" x14ac:dyDescent="0.3">
      <c r="B144" s="94" t="s">
        <v>12</v>
      </c>
      <c r="C144" s="93">
        <v>76</v>
      </c>
      <c r="D144" s="93">
        <v>90</v>
      </c>
      <c r="E144" s="93">
        <v>88</v>
      </c>
      <c r="F144" s="93">
        <v>62</v>
      </c>
      <c r="G144" s="93">
        <v>64</v>
      </c>
      <c r="H144" s="97">
        <v>59</v>
      </c>
      <c r="I144" s="166"/>
      <c r="J144" s="167"/>
      <c r="K144" s="167"/>
      <c r="L144" s="167"/>
      <c r="M144" s="167"/>
      <c r="N144" s="168"/>
    </row>
    <row r="145" spans="2:14" ht="15.75" thickBot="1" x14ac:dyDescent="0.3"/>
    <row r="146" spans="2:14" ht="15.75" x14ac:dyDescent="0.25">
      <c r="B146" s="2" t="s">
        <v>0</v>
      </c>
      <c r="C146" s="175" t="s">
        <v>202</v>
      </c>
      <c r="D146" s="176"/>
      <c r="E146" s="177" t="s">
        <v>1</v>
      </c>
      <c r="F146" s="178"/>
      <c r="G146" s="11">
        <v>140</v>
      </c>
      <c r="H146" s="179" t="s">
        <v>2</v>
      </c>
      <c r="I146" s="180"/>
      <c r="J146" s="181"/>
      <c r="K146" s="13">
        <v>140</v>
      </c>
      <c r="L146" s="3"/>
      <c r="M146" s="80" t="s">
        <v>11</v>
      </c>
      <c r="N146" s="98">
        <v>45423</v>
      </c>
    </row>
    <row r="147" spans="2:14" ht="15.75" x14ac:dyDescent="0.25">
      <c r="B147" s="4" t="s">
        <v>3</v>
      </c>
      <c r="C147" s="10">
        <v>24572</v>
      </c>
      <c r="D147" s="169" t="s">
        <v>57</v>
      </c>
      <c r="E147" s="170"/>
      <c r="F147" s="171"/>
      <c r="G147" s="18">
        <v>3800</v>
      </c>
      <c r="H147" s="172" t="s">
        <v>4</v>
      </c>
      <c r="I147" s="173"/>
      <c r="J147" s="174"/>
      <c r="K147" s="10">
        <v>47</v>
      </c>
      <c r="L147" s="15"/>
      <c r="M147" s="15"/>
      <c r="N147" s="16"/>
    </row>
    <row r="148" spans="2:14" ht="15.75" x14ac:dyDescent="0.25">
      <c r="B148" s="4" t="s">
        <v>5</v>
      </c>
      <c r="C148" s="19">
        <v>46</v>
      </c>
      <c r="D148" s="169" t="s">
        <v>8</v>
      </c>
      <c r="E148" s="170"/>
      <c r="F148" s="171"/>
      <c r="G148" s="17">
        <v>0.28000000000000003</v>
      </c>
      <c r="H148" s="172" t="s">
        <v>9</v>
      </c>
      <c r="I148" s="173"/>
      <c r="J148" s="174"/>
      <c r="K148" s="12">
        <v>0.85</v>
      </c>
      <c r="L148" s="172" t="s">
        <v>6</v>
      </c>
      <c r="M148" s="174"/>
      <c r="N148" s="20">
        <v>3.03</v>
      </c>
    </row>
    <row r="149" spans="2:14" ht="16.5" thickBot="1" x14ac:dyDescent="0.3">
      <c r="B149" s="5"/>
      <c r="C149" s="9"/>
      <c r="D149" s="9"/>
      <c r="E149" s="9"/>
      <c r="F149" s="9"/>
      <c r="G149" s="9"/>
      <c r="H149" s="79"/>
      <c r="I149" s="21"/>
      <c r="J149" s="21"/>
      <c r="K149" s="21"/>
      <c r="L149" s="21"/>
      <c r="M149" s="21"/>
      <c r="N149" s="6"/>
    </row>
    <row r="150" spans="2:14" ht="15.75" x14ac:dyDescent="0.25">
      <c r="B150" s="7" t="s">
        <v>7</v>
      </c>
      <c r="C150" s="1">
        <v>1</v>
      </c>
      <c r="D150" s="1">
        <v>2</v>
      </c>
      <c r="E150" s="1">
        <v>3</v>
      </c>
      <c r="F150" s="1">
        <v>4</v>
      </c>
      <c r="G150" s="1">
        <v>5</v>
      </c>
      <c r="H150" s="77">
        <v>6</v>
      </c>
      <c r="I150" s="160" t="s">
        <v>247</v>
      </c>
      <c r="J150" s="161"/>
      <c r="K150" s="161"/>
      <c r="L150" s="161"/>
      <c r="M150" s="161"/>
      <c r="N150" s="162"/>
    </row>
    <row r="151" spans="2:14" ht="15.75" x14ac:dyDescent="0.25">
      <c r="B151" s="87" t="s">
        <v>10</v>
      </c>
      <c r="C151" s="19">
        <v>44</v>
      </c>
      <c r="D151" s="19">
        <v>44</v>
      </c>
      <c r="E151" s="19">
        <v>43</v>
      </c>
      <c r="F151" s="19">
        <v>44</v>
      </c>
      <c r="G151" s="19">
        <v>43</v>
      </c>
      <c r="H151" s="95">
        <v>44</v>
      </c>
      <c r="I151" s="163"/>
      <c r="J151" s="164"/>
      <c r="K151" s="164"/>
      <c r="L151" s="164"/>
      <c r="M151" s="164"/>
      <c r="N151" s="165"/>
    </row>
    <row r="152" spans="2:14" ht="16.5" thickBot="1" x14ac:dyDescent="0.3">
      <c r="B152" s="94" t="s">
        <v>12</v>
      </c>
      <c r="C152" s="93">
        <v>68</v>
      </c>
      <c r="D152" s="93">
        <v>102</v>
      </c>
      <c r="E152" s="93">
        <v>95</v>
      </c>
      <c r="F152" s="93">
        <v>60</v>
      </c>
      <c r="G152" s="93">
        <v>52</v>
      </c>
      <c r="H152" s="97">
        <v>50</v>
      </c>
      <c r="I152" s="166"/>
      <c r="J152" s="167"/>
      <c r="K152" s="167"/>
      <c r="L152" s="167"/>
      <c r="M152" s="167"/>
      <c r="N152" s="168"/>
    </row>
    <row r="153" spans="2:14" ht="15.75" thickBot="1" x14ac:dyDescent="0.3"/>
    <row r="154" spans="2:14" ht="15.75" x14ac:dyDescent="0.25">
      <c r="B154" s="2" t="s">
        <v>0</v>
      </c>
      <c r="C154" s="175" t="s">
        <v>202</v>
      </c>
      <c r="D154" s="176"/>
      <c r="E154" s="177" t="s">
        <v>1</v>
      </c>
      <c r="F154" s="178"/>
      <c r="G154" s="11">
        <v>140</v>
      </c>
      <c r="H154" s="179" t="s">
        <v>2</v>
      </c>
      <c r="I154" s="180"/>
      <c r="J154" s="181"/>
      <c r="K154" s="13">
        <v>140</v>
      </c>
      <c r="L154" s="3"/>
      <c r="M154" s="80" t="s">
        <v>11</v>
      </c>
      <c r="N154" s="98">
        <v>45430</v>
      </c>
    </row>
    <row r="155" spans="2:14" ht="15.75" x14ac:dyDescent="0.25">
      <c r="B155" s="4" t="s">
        <v>3</v>
      </c>
      <c r="C155" s="10">
        <v>24744</v>
      </c>
      <c r="D155" s="169" t="s">
        <v>57</v>
      </c>
      <c r="E155" s="170"/>
      <c r="F155" s="171"/>
      <c r="G155" s="18">
        <v>6400</v>
      </c>
      <c r="H155" s="172" t="s">
        <v>4</v>
      </c>
      <c r="I155" s="173"/>
      <c r="J155" s="174"/>
      <c r="K155" s="10">
        <v>55</v>
      </c>
      <c r="L155" s="15"/>
      <c r="M155" s="15"/>
      <c r="N155" s="16"/>
    </row>
    <row r="156" spans="2:14" ht="15.75" x14ac:dyDescent="0.25">
      <c r="B156" s="4" t="s">
        <v>5</v>
      </c>
      <c r="C156" s="19">
        <v>62</v>
      </c>
      <c r="D156" s="169" t="s">
        <v>8</v>
      </c>
      <c r="E156" s="170"/>
      <c r="F156" s="171"/>
      <c r="G156" s="17">
        <v>0.28000000000000003</v>
      </c>
      <c r="H156" s="172" t="s">
        <v>9</v>
      </c>
      <c r="I156" s="173"/>
      <c r="J156" s="174"/>
      <c r="K156" s="12">
        <v>0.85</v>
      </c>
      <c r="L156" s="172" t="s">
        <v>6</v>
      </c>
      <c r="M156" s="174"/>
      <c r="N156" s="20">
        <v>3.03</v>
      </c>
    </row>
    <row r="157" spans="2:14" ht="16.5" thickBot="1" x14ac:dyDescent="0.3">
      <c r="B157" s="5"/>
      <c r="C157" s="9"/>
      <c r="D157" s="9"/>
      <c r="E157" s="9"/>
      <c r="F157" s="9"/>
      <c r="G157" s="9"/>
      <c r="H157" s="79"/>
      <c r="I157" s="21"/>
      <c r="J157" s="21"/>
      <c r="K157" s="21"/>
      <c r="L157" s="21"/>
      <c r="M157" s="21"/>
      <c r="N157" s="6"/>
    </row>
    <row r="158" spans="2:14" ht="15.75" x14ac:dyDescent="0.25">
      <c r="B158" s="7" t="s">
        <v>7</v>
      </c>
      <c r="C158" s="1">
        <v>1</v>
      </c>
      <c r="D158" s="1">
        <v>2</v>
      </c>
      <c r="E158" s="1">
        <v>3</v>
      </c>
      <c r="F158" s="1">
        <v>4</v>
      </c>
      <c r="G158" s="1">
        <v>5</v>
      </c>
      <c r="H158" s="77">
        <v>6</v>
      </c>
      <c r="I158" s="160" t="s">
        <v>248</v>
      </c>
      <c r="J158" s="161"/>
      <c r="K158" s="161"/>
      <c r="L158" s="161"/>
      <c r="M158" s="161"/>
      <c r="N158" s="162"/>
    </row>
    <row r="159" spans="2:14" ht="15.75" x14ac:dyDescent="0.25">
      <c r="B159" s="87" t="s">
        <v>10</v>
      </c>
      <c r="C159" s="19">
        <v>44</v>
      </c>
      <c r="D159" s="19">
        <v>43</v>
      </c>
      <c r="E159" s="19">
        <v>44</v>
      </c>
      <c r="F159" s="19">
        <v>44</v>
      </c>
      <c r="G159" s="19">
        <v>43</v>
      </c>
      <c r="H159" s="95">
        <v>43</v>
      </c>
      <c r="I159" s="163"/>
      <c r="J159" s="164"/>
      <c r="K159" s="164"/>
      <c r="L159" s="164"/>
      <c r="M159" s="164"/>
      <c r="N159" s="165"/>
    </row>
    <row r="160" spans="2:14" ht="16.5" thickBot="1" x14ac:dyDescent="0.3">
      <c r="B160" s="94" t="s">
        <v>12</v>
      </c>
      <c r="C160" s="93">
        <v>68</v>
      </c>
      <c r="D160" s="93">
        <v>98</v>
      </c>
      <c r="E160" s="93">
        <v>91</v>
      </c>
      <c r="F160" s="93">
        <v>63</v>
      </c>
      <c r="G160" s="93">
        <v>55</v>
      </c>
      <c r="H160" s="97">
        <v>58</v>
      </c>
      <c r="I160" s="166"/>
      <c r="J160" s="167"/>
      <c r="K160" s="167"/>
      <c r="L160" s="167"/>
      <c r="M160" s="167"/>
      <c r="N160" s="168"/>
    </row>
    <row r="161" spans="2:14" ht="15.75" thickBot="1" x14ac:dyDescent="0.3"/>
    <row r="162" spans="2:14" ht="15.75" x14ac:dyDescent="0.25">
      <c r="B162" s="2" t="s">
        <v>0</v>
      </c>
      <c r="C162" s="175" t="s">
        <v>202</v>
      </c>
      <c r="D162" s="176"/>
      <c r="E162" s="177" t="s">
        <v>1</v>
      </c>
      <c r="F162" s="178"/>
      <c r="G162" s="11">
        <v>140</v>
      </c>
      <c r="H162" s="179" t="s">
        <v>2</v>
      </c>
      <c r="I162" s="180"/>
      <c r="J162" s="181"/>
      <c r="K162" s="13">
        <v>140</v>
      </c>
      <c r="L162" s="3"/>
      <c r="M162" s="80" t="s">
        <v>11</v>
      </c>
      <c r="N162" s="98">
        <v>45437</v>
      </c>
    </row>
    <row r="163" spans="2:14" ht="15.75" x14ac:dyDescent="0.25">
      <c r="B163" s="4" t="s">
        <v>3</v>
      </c>
      <c r="C163" s="10"/>
      <c r="D163" s="169" t="s">
        <v>57</v>
      </c>
      <c r="E163" s="170"/>
      <c r="F163" s="171"/>
      <c r="G163" s="18"/>
      <c r="H163" s="172" t="s">
        <v>4</v>
      </c>
      <c r="I163" s="173"/>
      <c r="J163" s="174"/>
      <c r="K163" s="10"/>
      <c r="L163" s="15"/>
      <c r="M163" s="15"/>
      <c r="N163" s="16"/>
    </row>
    <row r="164" spans="2:14" ht="15.75" x14ac:dyDescent="0.25">
      <c r="B164" s="4" t="s">
        <v>5</v>
      </c>
      <c r="C164" s="19"/>
      <c r="D164" s="169" t="s">
        <v>8</v>
      </c>
      <c r="E164" s="170"/>
      <c r="F164" s="171"/>
      <c r="G164" s="17">
        <v>0.28000000000000003</v>
      </c>
      <c r="H164" s="172" t="s">
        <v>9</v>
      </c>
      <c r="I164" s="173"/>
      <c r="J164" s="174"/>
      <c r="K164" s="12">
        <v>0.85</v>
      </c>
      <c r="L164" s="172" t="s">
        <v>6</v>
      </c>
      <c r="M164" s="174"/>
      <c r="N164" s="20">
        <v>3.03</v>
      </c>
    </row>
    <row r="165" spans="2:14" ht="16.5" thickBot="1" x14ac:dyDescent="0.3">
      <c r="B165" s="5"/>
      <c r="C165" s="9"/>
      <c r="D165" s="9"/>
      <c r="E165" s="9"/>
      <c r="F165" s="9"/>
      <c r="G165" s="9"/>
      <c r="H165" s="79"/>
      <c r="I165" s="21"/>
      <c r="J165" s="21"/>
      <c r="K165" s="21"/>
      <c r="L165" s="21"/>
      <c r="M165" s="21"/>
      <c r="N165" s="6"/>
    </row>
    <row r="166" spans="2:14" ht="15.75" customHeight="1" x14ac:dyDescent="0.25">
      <c r="B166" s="7" t="s">
        <v>7</v>
      </c>
      <c r="C166" s="1">
        <v>1</v>
      </c>
      <c r="D166" s="1">
        <v>2</v>
      </c>
      <c r="E166" s="1">
        <v>3</v>
      </c>
      <c r="F166" s="1">
        <v>4</v>
      </c>
      <c r="G166" s="1">
        <v>5</v>
      </c>
      <c r="H166" s="77">
        <v>6</v>
      </c>
      <c r="I166" s="160" t="s">
        <v>249</v>
      </c>
      <c r="J166" s="161"/>
      <c r="K166" s="161"/>
      <c r="L166" s="161"/>
      <c r="M166" s="161"/>
      <c r="N166" s="162"/>
    </row>
    <row r="167" spans="2:14" ht="15.75" x14ac:dyDescent="0.25">
      <c r="B167" s="87" t="s">
        <v>10</v>
      </c>
      <c r="C167" s="19"/>
      <c r="D167" s="19"/>
      <c r="E167" s="19"/>
      <c r="F167" s="19"/>
      <c r="G167" s="19"/>
      <c r="H167" s="95"/>
      <c r="I167" s="163"/>
      <c r="J167" s="164"/>
      <c r="K167" s="164"/>
      <c r="L167" s="164"/>
      <c r="M167" s="164"/>
      <c r="N167" s="165"/>
    </row>
    <row r="168" spans="2:14" ht="16.5" thickBot="1" x14ac:dyDescent="0.3">
      <c r="B168" s="94" t="s">
        <v>12</v>
      </c>
      <c r="C168" s="93"/>
      <c r="D168" s="93"/>
      <c r="E168" s="93"/>
      <c r="F168" s="93"/>
      <c r="G168" s="93"/>
      <c r="H168" s="97"/>
      <c r="I168" s="166"/>
      <c r="J168" s="167"/>
      <c r="K168" s="167"/>
      <c r="L168" s="167"/>
      <c r="M168" s="167"/>
      <c r="N168" s="168"/>
    </row>
    <row r="169" spans="2:14" ht="15.75" thickBot="1" x14ac:dyDescent="0.3"/>
    <row r="170" spans="2:14" ht="15.75" x14ac:dyDescent="0.25">
      <c r="B170" s="2" t="s">
        <v>0</v>
      </c>
      <c r="C170" s="175" t="s">
        <v>202</v>
      </c>
      <c r="D170" s="176"/>
      <c r="E170" s="177" t="s">
        <v>1</v>
      </c>
      <c r="F170" s="178"/>
      <c r="G170" s="11">
        <v>140</v>
      </c>
      <c r="H170" s="179" t="s">
        <v>2</v>
      </c>
      <c r="I170" s="180"/>
      <c r="J170" s="181"/>
      <c r="K170" s="13">
        <v>140</v>
      </c>
      <c r="L170" s="3"/>
      <c r="M170" s="80" t="s">
        <v>11</v>
      </c>
      <c r="N170" s="98">
        <v>45444</v>
      </c>
    </row>
    <row r="171" spans="2:14" ht="15.75" x14ac:dyDescent="0.25">
      <c r="B171" s="4" t="s">
        <v>3</v>
      </c>
      <c r="C171" s="10">
        <v>24930</v>
      </c>
      <c r="D171" s="169" t="s">
        <v>57</v>
      </c>
      <c r="E171" s="170"/>
      <c r="F171" s="171"/>
      <c r="G171" s="18">
        <v>9580</v>
      </c>
      <c r="H171" s="172" t="s">
        <v>4</v>
      </c>
      <c r="I171" s="173"/>
      <c r="J171" s="174"/>
      <c r="K171" s="113">
        <v>63.6</v>
      </c>
      <c r="L171" s="15"/>
      <c r="M171" s="15"/>
      <c r="N171" s="16"/>
    </row>
    <row r="172" spans="2:14" ht="15.75" x14ac:dyDescent="0.25">
      <c r="B172" s="4" t="s">
        <v>5</v>
      </c>
      <c r="C172" s="19">
        <v>77</v>
      </c>
      <c r="D172" s="169" t="s">
        <v>8</v>
      </c>
      <c r="E172" s="170"/>
      <c r="F172" s="171"/>
      <c r="G172" s="17">
        <v>0.28000000000000003</v>
      </c>
      <c r="H172" s="172" t="s">
        <v>9</v>
      </c>
      <c r="I172" s="173"/>
      <c r="J172" s="174"/>
      <c r="K172" s="12">
        <v>0.85</v>
      </c>
      <c r="L172" s="172" t="s">
        <v>6</v>
      </c>
      <c r="M172" s="174"/>
      <c r="N172" s="20">
        <v>3.03</v>
      </c>
    </row>
    <row r="173" spans="2:14" ht="16.5" thickBot="1" x14ac:dyDescent="0.3">
      <c r="B173" s="5"/>
      <c r="C173" s="9"/>
      <c r="D173" s="9"/>
      <c r="E173" s="9"/>
      <c r="F173" s="9"/>
      <c r="G173" s="9"/>
      <c r="H173" s="79"/>
      <c r="I173" s="21"/>
      <c r="J173" s="21"/>
      <c r="K173" s="21"/>
      <c r="L173" s="21"/>
      <c r="M173" s="21"/>
      <c r="N173" s="6"/>
    </row>
    <row r="174" spans="2:14" ht="15.75" x14ac:dyDescent="0.25">
      <c r="B174" s="7" t="s">
        <v>7</v>
      </c>
      <c r="C174" s="1">
        <v>1</v>
      </c>
      <c r="D174" s="1">
        <v>2</v>
      </c>
      <c r="E174" s="1">
        <v>3</v>
      </c>
      <c r="F174" s="1">
        <v>4</v>
      </c>
      <c r="G174" s="1">
        <v>5</v>
      </c>
      <c r="H174" s="77">
        <v>6</v>
      </c>
      <c r="I174" s="160" t="s">
        <v>250</v>
      </c>
      <c r="J174" s="161"/>
      <c r="K174" s="161"/>
      <c r="L174" s="161"/>
      <c r="M174" s="161"/>
      <c r="N174" s="162"/>
    </row>
    <row r="175" spans="2:14" ht="15.75" x14ac:dyDescent="0.25">
      <c r="B175" s="87" t="s">
        <v>10</v>
      </c>
      <c r="C175" s="19">
        <v>43</v>
      </c>
      <c r="D175" s="19">
        <v>44</v>
      </c>
      <c r="E175" s="19">
        <v>44</v>
      </c>
      <c r="F175" s="19">
        <v>43</v>
      </c>
      <c r="G175" s="19">
        <v>44</v>
      </c>
      <c r="H175" s="95">
        <v>43</v>
      </c>
      <c r="I175" s="163"/>
      <c r="J175" s="164"/>
      <c r="K175" s="164"/>
      <c r="L175" s="164"/>
      <c r="M175" s="164"/>
      <c r="N175" s="165"/>
    </row>
    <row r="176" spans="2:14" ht="16.5" thickBot="1" x14ac:dyDescent="0.3">
      <c r="B176" s="94" t="s">
        <v>12</v>
      </c>
      <c r="C176" s="93">
        <v>66</v>
      </c>
      <c r="D176" s="93">
        <v>91</v>
      </c>
      <c r="E176" s="93">
        <v>97</v>
      </c>
      <c r="F176" s="93">
        <v>64</v>
      </c>
      <c r="G176" s="93">
        <v>59</v>
      </c>
      <c r="H176" s="97">
        <v>64</v>
      </c>
      <c r="I176" s="166"/>
      <c r="J176" s="167"/>
      <c r="K176" s="167"/>
      <c r="L176" s="167"/>
      <c r="M176" s="167"/>
      <c r="N176" s="168"/>
    </row>
    <row r="177" spans="2:14" ht="15.75" thickBot="1" x14ac:dyDescent="0.3"/>
    <row r="178" spans="2:14" ht="15.75" x14ac:dyDescent="0.25">
      <c r="B178" s="2" t="s">
        <v>0</v>
      </c>
      <c r="C178" s="175" t="s">
        <v>202</v>
      </c>
      <c r="D178" s="176"/>
      <c r="E178" s="177" t="s">
        <v>1</v>
      </c>
      <c r="F178" s="178"/>
      <c r="G178" s="11">
        <v>140</v>
      </c>
      <c r="H178" s="179" t="s">
        <v>2</v>
      </c>
      <c r="I178" s="180"/>
      <c r="J178" s="181"/>
      <c r="K178" s="13">
        <v>140</v>
      </c>
      <c r="L178" s="3"/>
      <c r="M178" s="80" t="s">
        <v>11</v>
      </c>
      <c r="N178" s="98">
        <v>45451</v>
      </c>
    </row>
    <row r="179" spans="2:14" ht="15.75" x14ac:dyDescent="0.25">
      <c r="B179" s="4" t="s">
        <v>3</v>
      </c>
      <c r="C179" s="10">
        <v>25074</v>
      </c>
      <c r="D179" s="169" t="s">
        <v>57</v>
      </c>
      <c r="E179" s="170"/>
      <c r="F179" s="171"/>
      <c r="G179" s="18">
        <v>9580</v>
      </c>
      <c r="H179" s="172" t="s">
        <v>4</v>
      </c>
      <c r="I179" s="173"/>
      <c r="J179" s="174"/>
      <c r="K179" s="113">
        <v>63.6</v>
      </c>
      <c r="L179" s="15"/>
      <c r="M179" s="15"/>
      <c r="N179" s="16"/>
    </row>
    <row r="180" spans="2:14" ht="15.75" x14ac:dyDescent="0.25">
      <c r="B180" s="4" t="s">
        <v>5</v>
      </c>
      <c r="C180" s="19">
        <v>77</v>
      </c>
      <c r="D180" s="169" t="s">
        <v>8</v>
      </c>
      <c r="E180" s="170"/>
      <c r="F180" s="171"/>
      <c r="G180" s="17">
        <v>0.28000000000000003</v>
      </c>
      <c r="H180" s="172" t="s">
        <v>9</v>
      </c>
      <c r="I180" s="173"/>
      <c r="J180" s="174"/>
      <c r="K180" s="12">
        <v>0.85</v>
      </c>
      <c r="L180" s="172" t="s">
        <v>6</v>
      </c>
      <c r="M180" s="174"/>
      <c r="N180" s="20">
        <v>3.44</v>
      </c>
    </row>
    <row r="181" spans="2:14" ht="16.5" thickBot="1" x14ac:dyDescent="0.3">
      <c r="B181" s="5"/>
      <c r="C181" s="9"/>
      <c r="D181" s="9"/>
      <c r="E181" s="9"/>
      <c r="F181" s="9"/>
      <c r="G181" s="9"/>
      <c r="H181" s="79"/>
      <c r="I181" s="21"/>
      <c r="J181" s="21"/>
      <c r="K181" s="21"/>
      <c r="L181" s="21"/>
      <c r="M181" s="21"/>
      <c r="N181" s="6"/>
    </row>
    <row r="182" spans="2:14" ht="15.75" x14ac:dyDescent="0.25">
      <c r="B182" s="7" t="s">
        <v>7</v>
      </c>
      <c r="C182" s="1">
        <v>1</v>
      </c>
      <c r="D182" s="1">
        <v>2</v>
      </c>
      <c r="E182" s="1">
        <v>3</v>
      </c>
      <c r="F182" s="1">
        <v>4</v>
      </c>
      <c r="G182" s="1">
        <v>5</v>
      </c>
      <c r="H182" s="77">
        <v>6</v>
      </c>
      <c r="I182" s="160" t="s">
        <v>251</v>
      </c>
      <c r="J182" s="161"/>
      <c r="K182" s="161"/>
      <c r="L182" s="161"/>
      <c r="M182" s="161"/>
      <c r="N182" s="162"/>
    </row>
    <row r="183" spans="2:14" ht="15.75" x14ac:dyDescent="0.25">
      <c r="B183" s="87" t="s">
        <v>10</v>
      </c>
      <c r="C183" s="19">
        <v>43</v>
      </c>
      <c r="D183" s="19">
        <v>43</v>
      </c>
      <c r="E183" s="19">
        <v>43</v>
      </c>
      <c r="F183" s="19">
        <v>44</v>
      </c>
      <c r="G183" s="19">
        <v>44</v>
      </c>
      <c r="H183" s="95">
        <v>44</v>
      </c>
      <c r="I183" s="163"/>
      <c r="J183" s="164"/>
      <c r="K183" s="164"/>
      <c r="L183" s="164"/>
      <c r="M183" s="164"/>
      <c r="N183" s="165"/>
    </row>
    <row r="184" spans="2:14" ht="16.5" thickBot="1" x14ac:dyDescent="0.3">
      <c r="B184" s="94" t="s">
        <v>12</v>
      </c>
      <c r="C184" s="93">
        <v>66</v>
      </c>
      <c r="D184" s="93">
        <v>96</v>
      </c>
      <c r="E184" s="93">
        <v>90</v>
      </c>
      <c r="F184" s="93">
        <v>58</v>
      </c>
      <c r="G184" s="93">
        <v>62</v>
      </c>
      <c r="H184" s="97">
        <v>63</v>
      </c>
      <c r="I184" s="166"/>
      <c r="J184" s="167"/>
      <c r="K184" s="167"/>
      <c r="L184" s="167"/>
      <c r="M184" s="167"/>
      <c r="N184" s="168"/>
    </row>
    <row r="185" spans="2:14" ht="15.75" thickBot="1" x14ac:dyDescent="0.3"/>
    <row r="186" spans="2:14" ht="15.75" x14ac:dyDescent="0.25">
      <c r="B186" s="2" t="s">
        <v>0</v>
      </c>
      <c r="C186" s="175" t="s">
        <v>202</v>
      </c>
      <c r="D186" s="176"/>
      <c r="E186" s="177" t="s">
        <v>1</v>
      </c>
      <c r="F186" s="178"/>
      <c r="G186" s="11">
        <v>140</v>
      </c>
      <c r="H186" s="179" t="s">
        <v>2</v>
      </c>
      <c r="I186" s="180"/>
      <c r="J186" s="181"/>
      <c r="K186" s="13">
        <v>140</v>
      </c>
      <c r="L186" s="3"/>
      <c r="M186" s="80" t="s">
        <v>11</v>
      </c>
      <c r="N186" s="98">
        <v>45458</v>
      </c>
    </row>
    <row r="187" spans="2:14" ht="15.75" x14ac:dyDescent="0.25">
      <c r="B187" s="4" t="s">
        <v>3</v>
      </c>
      <c r="C187" s="10"/>
      <c r="D187" s="169" t="s">
        <v>57</v>
      </c>
      <c r="E187" s="170"/>
      <c r="F187" s="171"/>
      <c r="G187" s="18"/>
      <c r="H187" s="172" t="s">
        <v>4</v>
      </c>
      <c r="I187" s="173"/>
      <c r="J187" s="174"/>
      <c r="K187" s="113"/>
      <c r="L187" s="15"/>
      <c r="M187" s="15"/>
      <c r="N187" s="16"/>
    </row>
    <row r="188" spans="2:14" ht="15.75" x14ac:dyDescent="0.25">
      <c r="B188" s="4" t="s">
        <v>5</v>
      </c>
      <c r="C188" s="19"/>
      <c r="D188" s="169" t="s">
        <v>8</v>
      </c>
      <c r="E188" s="170"/>
      <c r="F188" s="171"/>
      <c r="G188" s="17">
        <v>0.28000000000000003</v>
      </c>
      <c r="H188" s="172" t="s">
        <v>9</v>
      </c>
      <c r="I188" s="173"/>
      <c r="J188" s="174"/>
      <c r="K188" s="12">
        <v>0.85</v>
      </c>
      <c r="L188" s="172" t="s">
        <v>6</v>
      </c>
      <c r="M188" s="174"/>
      <c r="N188" s="20">
        <v>3.44</v>
      </c>
    </row>
    <row r="189" spans="2:14" ht="16.5" thickBot="1" x14ac:dyDescent="0.3">
      <c r="B189" s="5"/>
      <c r="C189" s="9"/>
      <c r="D189" s="9"/>
      <c r="E189" s="9"/>
      <c r="F189" s="9"/>
      <c r="G189" s="9"/>
      <c r="H189" s="79"/>
      <c r="I189" s="21"/>
      <c r="J189" s="21"/>
      <c r="K189" s="21"/>
      <c r="L189" s="21"/>
      <c r="M189" s="21"/>
      <c r="N189" s="6"/>
    </row>
    <row r="190" spans="2:14" ht="15.75" x14ac:dyDescent="0.25">
      <c r="B190" s="7" t="s">
        <v>7</v>
      </c>
      <c r="C190" s="1"/>
      <c r="D190" s="1"/>
      <c r="E190" s="1"/>
      <c r="F190" s="1"/>
      <c r="G190" s="1"/>
      <c r="H190" s="77"/>
      <c r="I190" s="160" t="s">
        <v>252</v>
      </c>
      <c r="J190" s="161"/>
      <c r="K190" s="161"/>
      <c r="L190" s="161"/>
      <c r="M190" s="161"/>
      <c r="N190" s="162"/>
    </row>
    <row r="191" spans="2:14" ht="15.75" x14ac:dyDescent="0.25">
      <c r="B191" s="87" t="s">
        <v>10</v>
      </c>
      <c r="C191" s="19"/>
      <c r="D191" s="19"/>
      <c r="E191" s="19"/>
      <c r="F191" s="19"/>
      <c r="G191" s="19"/>
      <c r="H191" s="95"/>
      <c r="I191" s="163"/>
      <c r="J191" s="164"/>
      <c r="K191" s="164"/>
      <c r="L191" s="164"/>
      <c r="M191" s="164"/>
      <c r="N191" s="165"/>
    </row>
    <row r="192" spans="2:14" ht="16.5" thickBot="1" x14ac:dyDescent="0.3">
      <c r="B192" s="94" t="s">
        <v>12</v>
      </c>
      <c r="C192" s="93"/>
      <c r="D192" s="93"/>
      <c r="E192" s="93"/>
      <c r="F192" s="93"/>
      <c r="G192" s="93"/>
      <c r="H192" s="97"/>
      <c r="I192" s="166"/>
      <c r="J192" s="167"/>
      <c r="K192" s="167"/>
      <c r="L192" s="167"/>
      <c r="M192" s="167"/>
      <c r="N192" s="168"/>
    </row>
    <row r="193" spans="2:14" ht="15.75" thickBot="1" x14ac:dyDescent="0.3"/>
    <row r="194" spans="2:14" ht="15.75" x14ac:dyDescent="0.25">
      <c r="B194" s="2" t="s">
        <v>0</v>
      </c>
      <c r="C194" s="175" t="s">
        <v>202</v>
      </c>
      <c r="D194" s="176"/>
      <c r="E194" s="177" t="s">
        <v>1</v>
      </c>
      <c r="F194" s="178"/>
      <c r="G194" s="11">
        <v>140</v>
      </c>
      <c r="H194" s="179" t="s">
        <v>2</v>
      </c>
      <c r="I194" s="180"/>
      <c r="J194" s="181"/>
      <c r="K194" s="13">
        <v>140</v>
      </c>
      <c r="L194" s="3"/>
      <c r="M194" s="80" t="s">
        <v>11</v>
      </c>
      <c r="N194" s="98">
        <v>45465</v>
      </c>
    </row>
    <row r="195" spans="2:14" ht="15.75" x14ac:dyDescent="0.25">
      <c r="B195" s="4" t="s">
        <v>3</v>
      </c>
      <c r="C195" s="10"/>
      <c r="D195" s="169" t="s">
        <v>57</v>
      </c>
      <c r="E195" s="170"/>
      <c r="F195" s="171"/>
      <c r="G195" s="18"/>
      <c r="H195" s="172" t="s">
        <v>4</v>
      </c>
      <c r="I195" s="173"/>
      <c r="J195" s="174"/>
      <c r="K195" s="113"/>
      <c r="L195" s="15"/>
      <c r="M195" s="15"/>
      <c r="N195" s="16"/>
    </row>
    <row r="196" spans="2:14" ht="15.75" x14ac:dyDescent="0.25">
      <c r="B196" s="4" t="s">
        <v>5</v>
      </c>
      <c r="C196" s="19"/>
      <c r="D196" s="169" t="s">
        <v>8</v>
      </c>
      <c r="E196" s="170"/>
      <c r="F196" s="171"/>
      <c r="G196" s="17">
        <v>0.28000000000000003</v>
      </c>
      <c r="H196" s="172" t="s">
        <v>9</v>
      </c>
      <c r="I196" s="173"/>
      <c r="J196" s="174"/>
      <c r="K196" s="12">
        <v>0.85</v>
      </c>
      <c r="L196" s="172" t="s">
        <v>6</v>
      </c>
      <c r="M196" s="174"/>
      <c r="N196" s="20">
        <v>3.44</v>
      </c>
    </row>
    <row r="197" spans="2:14" ht="16.5" thickBot="1" x14ac:dyDescent="0.3">
      <c r="B197" s="5"/>
      <c r="C197" s="9"/>
      <c r="D197" s="9"/>
      <c r="E197" s="9"/>
      <c r="F197" s="9"/>
      <c r="G197" s="9"/>
      <c r="H197" s="79"/>
      <c r="I197" s="21"/>
      <c r="J197" s="21"/>
      <c r="K197" s="21"/>
      <c r="L197" s="21"/>
      <c r="M197" s="21"/>
      <c r="N197" s="6"/>
    </row>
    <row r="198" spans="2:14" ht="15.75" x14ac:dyDescent="0.25">
      <c r="B198" s="7" t="s">
        <v>7</v>
      </c>
      <c r="C198" s="1"/>
      <c r="D198" s="1"/>
      <c r="E198" s="1"/>
      <c r="F198" s="1"/>
      <c r="G198" s="1"/>
      <c r="H198" s="77"/>
      <c r="I198" s="160" t="s">
        <v>253</v>
      </c>
      <c r="J198" s="161"/>
      <c r="K198" s="161"/>
      <c r="L198" s="161"/>
      <c r="M198" s="161"/>
      <c r="N198" s="162"/>
    </row>
    <row r="199" spans="2:14" ht="15.75" x14ac:dyDescent="0.25">
      <c r="B199" s="87" t="s">
        <v>10</v>
      </c>
      <c r="C199" s="19"/>
      <c r="D199" s="19"/>
      <c r="E199" s="19"/>
      <c r="F199" s="19"/>
      <c r="G199" s="19"/>
      <c r="H199" s="95"/>
      <c r="I199" s="163"/>
      <c r="J199" s="164"/>
      <c r="K199" s="164"/>
      <c r="L199" s="164"/>
      <c r="M199" s="164"/>
      <c r="N199" s="165"/>
    </row>
    <row r="200" spans="2:14" ht="16.5" thickBot="1" x14ac:dyDescent="0.3">
      <c r="B200" s="94" t="s">
        <v>12</v>
      </c>
      <c r="C200" s="93"/>
      <c r="D200" s="93"/>
      <c r="E200" s="93"/>
      <c r="F200" s="93"/>
      <c r="G200" s="93"/>
      <c r="H200" s="97"/>
      <c r="I200" s="166"/>
      <c r="J200" s="167"/>
      <c r="K200" s="167"/>
      <c r="L200" s="167"/>
      <c r="M200" s="167"/>
      <c r="N200" s="168"/>
    </row>
    <row r="201" spans="2:14" ht="15.75" thickBot="1" x14ac:dyDescent="0.3"/>
    <row r="202" spans="2:14" ht="15.75" x14ac:dyDescent="0.25">
      <c r="B202" s="2" t="s">
        <v>0</v>
      </c>
      <c r="C202" s="175" t="s">
        <v>202</v>
      </c>
      <c r="D202" s="176"/>
      <c r="E202" s="177" t="s">
        <v>1</v>
      </c>
      <c r="F202" s="178"/>
      <c r="G202" s="11">
        <v>140</v>
      </c>
      <c r="H202" s="179" t="s">
        <v>2</v>
      </c>
      <c r="I202" s="180"/>
      <c r="J202" s="181"/>
      <c r="K202" s="13">
        <v>140</v>
      </c>
      <c r="L202" s="3"/>
      <c r="M202" s="80" t="s">
        <v>11</v>
      </c>
      <c r="N202" s="98">
        <v>45472</v>
      </c>
    </row>
    <row r="203" spans="2:14" ht="15.75" x14ac:dyDescent="0.25">
      <c r="B203" s="4" t="s">
        <v>3</v>
      </c>
      <c r="C203" s="10">
        <v>25419</v>
      </c>
      <c r="D203" s="169" t="s">
        <v>57</v>
      </c>
      <c r="E203" s="170"/>
      <c r="F203" s="171"/>
      <c r="G203" s="18">
        <v>7500</v>
      </c>
      <c r="H203" s="172" t="s">
        <v>4</v>
      </c>
      <c r="I203" s="173"/>
      <c r="J203" s="174"/>
      <c r="K203" s="113">
        <v>60</v>
      </c>
      <c r="L203" s="15"/>
      <c r="M203" s="15"/>
      <c r="N203" s="16"/>
    </row>
    <row r="204" spans="2:14" ht="15.75" x14ac:dyDescent="0.25">
      <c r="B204" s="4" t="s">
        <v>5</v>
      </c>
      <c r="C204" s="19">
        <v>68</v>
      </c>
      <c r="D204" s="169" t="s">
        <v>8</v>
      </c>
      <c r="E204" s="170"/>
      <c r="F204" s="171"/>
      <c r="G204" s="17">
        <v>0.28000000000000003</v>
      </c>
      <c r="H204" s="172" t="s">
        <v>254</v>
      </c>
      <c r="I204" s="173"/>
      <c r="J204" s="174"/>
      <c r="K204" s="12">
        <v>0.85</v>
      </c>
      <c r="L204" s="172" t="s">
        <v>6</v>
      </c>
      <c r="M204" s="174"/>
      <c r="N204" s="20">
        <v>3.44</v>
      </c>
    </row>
    <row r="205" spans="2:14" ht="16.5" thickBot="1" x14ac:dyDescent="0.3">
      <c r="B205" s="5"/>
      <c r="C205" s="9"/>
      <c r="D205" s="9"/>
      <c r="E205" s="9"/>
      <c r="F205" s="9"/>
      <c r="G205" s="9"/>
      <c r="H205" s="79"/>
      <c r="I205" s="21"/>
      <c r="J205" s="21"/>
      <c r="K205" s="21"/>
      <c r="L205" s="21"/>
      <c r="M205" s="21"/>
      <c r="N205" s="6"/>
    </row>
    <row r="206" spans="2:14" ht="15.75" x14ac:dyDescent="0.25">
      <c r="B206" s="7" t="s">
        <v>7</v>
      </c>
      <c r="C206" s="1">
        <v>1</v>
      </c>
      <c r="D206" s="1">
        <v>2</v>
      </c>
      <c r="E206" s="1">
        <v>3</v>
      </c>
      <c r="F206" s="1">
        <v>4</v>
      </c>
      <c r="G206" s="1">
        <v>5</v>
      </c>
      <c r="H206" s="77">
        <v>6</v>
      </c>
      <c r="I206" s="160" t="s">
        <v>255</v>
      </c>
      <c r="J206" s="161"/>
      <c r="K206" s="161"/>
      <c r="L206" s="161"/>
      <c r="M206" s="161"/>
      <c r="N206" s="162"/>
    </row>
    <row r="207" spans="2:14" ht="15.75" x14ac:dyDescent="0.25">
      <c r="B207" s="87" t="s">
        <v>10</v>
      </c>
      <c r="C207" s="19">
        <v>42</v>
      </c>
      <c r="D207" s="19">
        <v>43</v>
      </c>
      <c r="E207" s="19">
        <v>42</v>
      </c>
      <c r="F207" s="19">
        <v>43</v>
      </c>
      <c r="G207" s="19">
        <v>44</v>
      </c>
      <c r="H207" s="95">
        <v>44</v>
      </c>
      <c r="I207" s="163"/>
      <c r="J207" s="164"/>
      <c r="K207" s="164"/>
      <c r="L207" s="164"/>
      <c r="M207" s="164"/>
      <c r="N207" s="165"/>
    </row>
    <row r="208" spans="2:14" ht="16.5" thickBot="1" x14ac:dyDescent="0.3">
      <c r="B208" s="94" t="s">
        <v>12</v>
      </c>
      <c r="C208" s="93">
        <v>70</v>
      </c>
      <c r="D208" s="93">
        <v>90</v>
      </c>
      <c r="E208" s="93">
        <v>88</v>
      </c>
      <c r="F208" s="93">
        <v>54</v>
      </c>
      <c r="G208" s="93">
        <v>62</v>
      </c>
      <c r="H208" s="97">
        <v>58</v>
      </c>
      <c r="I208" s="166"/>
      <c r="J208" s="167"/>
      <c r="K208" s="167"/>
      <c r="L208" s="167"/>
      <c r="M208" s="167"/>
      <c r="N208" s="168"/>
    </row>
    <row r="209" spans="2:14" ht="15.75" thickBot="1" x14ac:dyDescent="0.3"/>
    <row r="210" spans="2:14" ht="15.75" x14ac:dyDescent="0.25">
      <c r="B210" s="2" t="s">
        <v>0</v>
      </c>
      <c r="C210" s="175" t="s">
        <v>202</v>
      </c>
      <c r="D210" s="176"/>
      <c r="E210" s="177" t="s">
        <v>1</v>
      </c>
      <c r="F210" s="178"/>
      <c r="G210" s="11">
        <v>140</v>
      </c>
      <c r="H210" s="179" t="s">
        <v>2</v>
      </c>
      <c r="I210" s="180"/>
      <c r="J210" s="181"/>
      <c r="K210" s="13">
        <v>140</v>
      </c>
      <c r="L210" s="3"/>
      <c r="M210" s="80" t="s">
        <v>11</v>
      </c>
      <c r="N210" s="98">
        <v>45479</v>
      </c>
    </row>
    <row r="211" spans="2:14" ht="15.75" x14ac:dyDescent="0.25">
      <c r="B211" s="4" t="s">
        <v>3</v>
      </c>
      <c r="C211" s="10">
        <v>25563</v>
      </c>
      <c r="D211" s="169" t="s">
        <v>57</v>
      </c>
      <c r="E211" s="170"/>
      <c r="F211" s="171"/>
      <c r="G211" s="18">
        <v>7900</v>
      </c>
      <c r="H211" s="172" t="s">
        <v>4</v>
      </c>
      <c r="I211" s="173"/>
      <c r="J211" s="174"/>
      <c r="K211" s="113">
        <v>60</v>
      </c>
      <c r="L211" s="15"/>
      <c r="M211" s="15"/>
      <c r="N211" s="16"/>
    </row>
    <row r="212" spans="2:14" ht="15.75" x14ac:dyDescent="0.25">
      <c r="B212" s="4" t="s">
        <v>5</v>
      </c>
      <c r="C212" s="19">
        <v>71</v>
      </c>
      <c r="D212" s="169" t="s">
        <v>8</v>
      </c>
      <c r="E212" s="170"/>
      <c r="F212" s="171"/>
      <c r="G212" s="17">
        <v>0.28000000000000003</v>
      </c>
      <c r="H212" s="172" t="s">
        <v>254</v>
      </c>
      <c r="I212" s="173"/>
      <c r="J212" s="174"/>
      <c r="K212" s="12">
        <v>0.85</v>
      </c>
      <c r="L212" s="172" t="s">
        <v>6</v>
      </c>
      <c r="M212" s="174"/>
      <c r="N212" s="20">
        <v>3.44</v>
      </c>
    </row>
    <row r="213" spans="2:14" ht="16.5" thickBot="1" x14ac:dyDescent="0.3">
      <c r="B213" s="5"/>
      <c r="C213" s="9"/>
      <c r="D213" s="9"/>
      <c r="E213" s="9"/>
      <c r="F213" s="9"/>
      <c r="G213" s="9"/>
      <c r="H213" s="79"/>
      <c r="I213" s="21"/>
      <c r="J213" s="21"/>
      <c r="K213" s="21"/>
      <c r="L213" s="21"/>
      <c r="M213" s="21"/>
      <c r="N213" s="6"/>
    </row>
    <row r="214" spans="2:14" ht="15.75" x14ac:dyDescent="0.25">
      <c r="B214" s="7" t="s">
        <v>7</v>
      </c>
      <c r="C214" s="1">
        <v>1</v>
      </c>
      <c r="D214" s="1">
        <v>2</v>
      </c>
      <c r="E214" s="1">
        <v>3</v>
      </c>
      <c r="F214" s="1">
        <v>4</v>
      </c>
      <c r="G214" s="1">
        <v>5</v>
      </c>
      <c r="H214" s="77">
        <v>6</v>
      </c>
      <c r="I214" s="160" t="s">
        <v>256</v>
      </c>
      <c r="J214" s="161"/>
      <c r="K214" s="161"/>
      <c r="L214" s="161"/>
      <c r="M214" s="161"/>
      <c r="N214" s="162"/>
    </row>
    <row r="215" spans="2:14" ht="15.75" x14ac:dyDescent="0.25">
      <c r="B215" s="87" t="s">
        <v>10</v>
      </c>
      <c r="C215" s="19">
        <v>42</v>
      </c>
      <c r="D215" s="19">
        <v>44</v>
      </c>
      <c r="E215" s="19">
        <v>44</v>
      </c>
      <c r="F215" s="19">
        <v>43</v>
      </c>
      <c r="G215" s="19">
        <v>43</v>
      </c>
      <c r="H215" s="95">
        <v>42</v>
      </c>
      <c r="I215" s="163"/>
      <c r="J215" s="164"/>
      <c r="K215" s="164"/>
      <c r="L215" s="164"/>
      <c r="M215" s="164"/>
      <c r="N215" s="165"/>
    </row>
    <row r="216" spans="2:14" ht="16.5" thickBot="1" x14ac:dyDescent="0.3">
      <c r="B216" s="94" t="s">
        <v>12</v>
      </c>
      <c r="C216" s="93">
        <v>75</v>
      </c>
      <c r="D216" s="93">
        <v>95</v>
      </c>
      <c r="E216" s="93">
        <v>97</v>
      </c>
      <c r="F216" s="93">
        <v>77</v>
      </c>
      <c r="G216" s="93">
        <v>88</v>
      </c>
      <c r="H216" s="97">
        <v>81</v>
      </c>
      <c r="I216" s="166"/>
      <c r="J216" s="167"/>
      <c r="K216" s="167"/>
      <c r="L216" s="167"/>
      <c r="M216" s="167"/>
      <c r="N216" s="168"/>
    </row>
    <row r="217" spans="2:14" ht="15.75" thickBot="1" x14ac:dyDescent="0.3"/>
    <row r="218" spans="2:14" ht="15.75" x14ac:dyDescent="0.25">
      <c r="B218" s="2" t="s">
        <v>0</v>
      </c>
      <c r="C218" s="175" t="s">
        <v>202</v>
      </c>
      <c r="D218" s="176"/>
      <c r="E218" s="177" t="s">
        <v>1</v>
      </c>
      <c r="F218" s="178"/>
      <c r="G218" s="11">
        <v>140</v>
      </c>
      <c r="H218" s="179" t="s">
        <v>2</v>
      </c>
      <c r="I218" s="180"/>
      <c r="J218" s="181"/>
      <c r="K218" s="13">
        <v>140</v>
      </c>
      <c r="L218" s="3"/>
      <c r="M218" s="80" t="s">
        <v>11</v>
      </c>
      <c r="N218" s="98">
        <v>45486</v>
      </c>
    </row>
    <row r="219" spans="2:14" ht="15.75" x14ac:dyDescent="0.25">
      <c r="B219" s="4" t="s">
        <v>3</v>
      </c>
      <c r="C219" s="10">
        <v>25730</v>
      </c>
      <c r="D219" s="169" t="s">
        <v>57</v>
      </c>
      <c r="E219" s="170"/>
      <c r="F219" s="171"/>
      <c r="G219" s="18">
        <v>7200</v>
      </c>
      <c r="H219" s="172" t="s">
        <v>4</v>
      </c>
      <c r="I219" s="173"/>
      <c r="J219" s="174"/>
      <c r="K219" s="113">
        <v>60</v>
      </c>
      <c r="L219" s="15"/>
      <c r="M219" s="15"/>
      <c r="N219" s="16"/>
    </row>
    <row r="220" spans="2:14" ht="15.75" x14ac:dyDescent="0.25">
      <c r="B220" s="4" t="s">
        <v>5</v>
      </c>
      <c r="C220" s="19">
        <v>70</v>
      </c>
      <c r="D220" s="169" t="s">
        <v>8</v>
      </c>
      <c r="E220" s="170"/>
      <c r="F220" s="171"/>
      <c r="G220" s="17">
        <v>0.28000000000000003</v>
      </c>
      <c r="H220" s="172" t="s">
        <v>254</v>
      </c>
      <c r="I220" s="173"/>
      <c r="J220" s="174"/>
      <c r="K220" s="12">
        <v>0.85</v>
      </c>
      <c r="L220" s="172" t="s">
        <v>6</v>
      </c>
      <c r="M220" s="174"/>
      <c r="N220" s="20">
        <v>3.44</v>
      </c>
    </row>
    <row r="221" spans="2:14" ht="16.5" thickBot="1" x14ac:dyDescent="0.3">
      <c r="B221" s="5"/>
      <c r="C221" s="9"/>
      <c r="D221" s="9"/>
      <c r="E221" s="9"/>
      <c r="F221" s="9"/>
      <c r="G221" s="9"/>
      <c r="H221" s="79"/>
      <c r="I221" s="21"/>
      <c r="J221" s="21"/>
      <c r="K221" s="21"/>
      <c r="L221" s="21"/>
      <c r="M221" s="21"/>
      <c r="N221" s="6"/>
    </row>
    <row r="222" spans="2:14" ht="15.75" x14ac:dyDescent="0.25">
      <c r="B222" s="7" t="s">
        <v>7</v>
      </c>
      <c r="C222" s="1">
        <v>1</v>
      </c>
      <c r="D222" s="1">
        <v>2</v>
      </c>
      <c r="E222" s="1">
        <v>3</v>
      </c>
      <c r="F222" s="1">
        <v>4</v>
      </c>
      <c r="G222" s="1">
        <v>5</v>
      </c>
      <c r="H222" s="77">
        <v>6</v>
      </c>
      <c r="I222" s="160" t="s">
        <v>257</v>
      </c>
      <c r="J222" s="161"/>
      <c r="K222" s="161"/>
      <c r="L222" s="161"/>
      <c r="M222" s="161"/>
      <c r="N222" s="162"/>
    </row>
    <row r="223" spans="2:14" ht="15.75" x14ac:dyDescent="0.25">
      <c r="B223" s="87" t="s">
        <v>10</v>
      </c>
      <c r="C223" s="19">
        <v>43</v>
      </c>
      <c r="D223" s="19">
        <v>44</v>
      </c>
      <c r="E223" s="19">
        <v>44</v>
      </c>
      <c r="F223" s="19">
        <v>43</v>
      </c>
      <c r="G223" s="19">
        <v>44</v>
      </c>
      <c r="H223" s="95">
        <v>43</v>
      </c>
      <c r="I223" s="163"/>
      <c r="J223" s="164"/>
      <c r="K223" s="164"/>
      <c r="L223" s="164"/>
      <c r="M223" s="164"/>
      <c r="N223" s="165"/>
    </row>
    <row r="224" spans="2:14" ht="16.5" thickBot="1" x14ac:dyDescent="0.3">
      <c r="B224" s="94" t="s">
        <v>12</v>
      </c>
      <c r="C224" s="93">
        <v>71</v>
      </c>
      <c r="D224" s="93">
        <v>98</v>
      </c>
      <c r="E224" s="93">
        <v>94</v>
      </c>
      <c r="F224" s="93">
        <v>78</v>
      </c>
      <c r="G224" s="93">
        <v>80</v>
      </c>
      <c r="H224" s="97">
        <v>79</v>
      </c>
      <c r="I224" s="166"/>
      <c r="J224" s="167"/>
      <c r="K224" s="167"/>
      <c r="L224" s="167"/>
      <c r="M224" s="167"/>
      <c r="N224" s="168"/>
    </row>
    <row r="225" spans="2:14" ht="15.75" thickBot="1" x14ac:dyDescent="0.3"/>
    <row r="226" spans="2:14" ht="15.75" x14ac:dyDescent="0.25">
      <c r="B226" s="2" t="s">
        <v>0</v>
      </c>
      <c r="C226" s="175" t="s">
        <v>202</v>
      </c>
      <c r="D226" s="176"/>
      <c r="E226" s="177" t="s">
        <v>1</v>
      </c>
      <c r="F226" s="178"/>
      <c r="G226" s="11">
        <v>140</v>
      </c>
      <c r="H226" s="179" t="s">
        <v>2</v>
      </c>
      <c r="I226" s="180"/>
      <c r="J226" s="181"/>
      <c r="K226" s="13">
        <v>140</v>
      </c>
      <c r="L226" s="3"/>
      <c r="M226" s="80" t="s">
        <v>11</v>
      </c>
      <c r="N226" s="98">
        <v>45493</v>
      </c>
    </row>
    <row r="227" spans="2:14" ht="15.75" x14ac:dyDescent="0.25">
      <c r="B227" s="4" t="s">
        <v>3</v>
      </c>
      <c r="C227" s="10">
        <v>25896</v>
      </c>
      <c r="D227" s="169" t="s">
        <v>57</v>
      </c>
      <c r="E227" s="170"/>
      <c r="F227" s="171"/>
      <c r="G227" s="18">
        <v>7900</v>
      </c>
      <c r="H227" s="172" t="s">
        <v>4</v>
      </c>
      <c r="I227" s="173"/>
      <c r="J227" s="174"/>
      <c r="K227" s="113">
        <v>60</v>
      </c>
      <c r="L227" s="15"/>
      <c r="M227" s="15"/>
      <c r="N227" s="16"/>
    </row>
    <row r="228" spans="2:14" ht="15.75" x14ac:dyDescent="0.25">
      <c r="B228" s="4" t="s">
        <v>5</v>
      </c>
      <c r="C228" s="19">
        <v>71</v>
      </c>
      <c r="D228" s="169" t="s">
        <v>8</v>
      </c>
      <c r="E228" s="170"/>
      <c r="F228" s="171"/>
      <c r="G228" s="17">
        <v>0.28000000000000003</v>
      </c>
      <c r="H228" s="172" t="s">
        <v>254</v>
      </c>
      <c r="I228" s="173"/>
      <c r="J228" s="174"/>
      <c r="K228" s="12">
        <v>0.85</v>
      </c>
      <c r="L228" s="172" t="s">
        <v>6</v>
      </c>
      <c r="M228" s="174"/>
      <c r="N228" s="20">
        <v>3.44</v>
      </c>
    </row>
    <row r="229" spans="2:14" ht="16.5" thickBot="1" x14ac:dyDescent="0.3">
      <c r="B229" s="5"/>
      <c r="C229" s="9"/>
      <c r="D229" s="9"/>
      <c r="E229" s="9"/>
      <c r="F229" s="9"/>
      <c r="G229" s="9"/>
      <c r="H229" s="79"/>
      <c r="I229" s="21"/>
      <c r="J229" s="21"/>
      <c r="K229" s="21"/>
      <c r="L229" s="21"/>
      <c r="M229" s="21"/>
      <c r="N229" s="6"/>
    </row>
    <row r="230" spans="2:14" ht="15.75" x14ac:dyDescent="0.25">
      <c r="B230" s="7" t="s">
        <v>7</v>
      </c>
      <c r="C230" s="1">
        <v>1</v>
      </c>
      <c r="D230" s="1">
        <v>2</v>
      </c>
      <c r="E230" s="1">
        <v>3</v>
      </c>
      <c r="F230" s="1">
        <v>4</v>
      </c>
      <c r="G230" s="1">
        <v>5</v>
      </c>
      <c r="H230" s="77">
        <v>6</v>
      </c>
      <c r="I230" s="160" t="s">
        <v>258</v>
      </c>
      <c r="J230" s="161"/>
      <c r="K230" s="161"/>
      <c r="L230" s="161"/>
      <c r="M230" s="161"/>
      <c r="N230" s="162"/>
    </row>
    <row r="231" spans="2:14" ht="15.75" x14ac:dyDescent="0.25">
      <c r="B231" s="87" t="s">
        <v>10</v>
      </c>
      <c r="C231" s="19">
        <v>44</v>
      </c>
      <c r="D231" s="19">
        <v>44</v>
      </c>
      <c r="E231" s="19">
        <v>43</v>
      </c>
      <c r="F231" s="19">
        <v>44</v>
      </c>
      <c r="G231" s="19">
        <v>42</v>
      </c>
      <c r="H231" s="95">
        <v>43</v>
      </c>
      <c r="I231" s="163"/>
      <c r="J231" s="164"/>
      <c r="K231" s="164"/>
      <c r="L231" s="164"/>
      <c r="M231" s="164"/>
      <c r="N231" s="165"/>
    </row>
    <row r="232" spans="2:14" ht="16.5" thickBot="1" x14ac:dyDescent="0.3">
      <c r="B232" s="94" t="s">
        <v>12</v>
      </c>
      <c r="C232" s="93">
        <v>84</v>
      </c>
      <c r="D232" s="93">
        <v>99</v>
      </c>
      <c r="E232" s="93">
        <v>106</v>
      </c>
      <c r="F232" s="93">
        <v>81</v>
      </c>
      <c r="G232" s="93">
        <v>74</v>
      </c>
      <c r="H232" s="97">
        <v>83</v>
      </c>
      <c r="I232" s="166"/>
      <c r="J232" s="167"/>
      <c r="K232" s="167"/>
      <c r="L232" s="167"/>
      <c r="M232" s="167"/>
      <c r="N232" s="168"/>
    </row>
    <row r="233" spans="2:14" ht="15.75" thickBot="1" x14ac:dyDescent="0.3"/>
    <row r="234" spans="2:14" ht="15.75" x14ac:dyDescent="0.25">
      <c r="B234" s="2" t="s">
        <v>0</v>
      </c>
      <c r="C234" s="175" t="s">
        <v>202</v>
      </c>
      <c r="D234" s="176"/>
      <c r="E234" s="177" t="s">
        <v>1</v>
      </c>
      <c r="F234" s="178"/>
      <c r="G234" s="11">
        <v>140</v>
      </c>
      <c r="H234" s="179" t="s">
        <v>2</v>
      </c>
      <c r="I234" s="180"/>
      <c r="J234" s="181"/>
      <c r="K234" s="13">
        <v>140</v>
      </c>
      <c r="L234" s="3"/>
      <c r="M234" s="80" t="s">
        <v>11</v>
      </c>
      <c r="N234" s="98">
        <v>45500</v>
      </c>
    </row>
    <row r="235" spans="2:14" ht="15.75" x14ac:dyDescent="0.25">
      <c r="B235" s="4" t="s">
        <v>3</v>
      </c>
      <c r="C235" s="10">
        <v>26063</v>
      </c>
      <c r="D235" s="169" t="s">
        <v>57</v>
      </c>
      <c r="E235" s="170"/>
      <c r="F235" s="171"/>
      <c r="G235" s="18">
        <v>7700</v>
      </c>
      <c r="H235" s="172" t="s">
        <v>4</v>
      </c>
      <c r="I235" s="173"/>
      <c r="J235" s="174"/>
      <c r="K235" s="113">
        <v>60</v>
      </c>
      <c r="L235" s="15"/>
      <c r="M235" s="15"/>
      <c r="N235" s="16"/>
    </row>
    <row r="236" spans="2:14" ht="15.75" x14ac:dyDescent="0.25">
      <c r="B236" s="4" t="s">
        <v>5</v>
      </c>
      <c r="C236" s="19">
        <v>68</v>
      </c>
      <c r="D236" s="169" t="s">
        <v>8</v>
      </c>
      <c r="E236" s="170"/>
      <c r="F236" s="171"/>
      <c r="G236" s="17">
        <v>0.28000000000000003</v>
      </c>
      <c r="H236" s="172" t="s">
        <v>254</v>
      </c>
      <c r="I236" s="173"/>
      <c r="J236" s="174"/>
      <c r="K236" s="12">
        <v>0.85</v>
      </c>
      <c r="L236" s="172" t="s">
        <v>6</v>
      </c>
      <c r="M236" s="174"/>
      <c r="N236" s="20">
        <v>3.44</v>
      </c>
    </row>
    <row r="237" spans="2:14" ht="16.5" thickBot="1" x14ac:dyDescent="0.3">
      <c r="B237" s="5"/>
      <c r="C237" s="9"/>
      <c r="D237" s="9"/>
      <c r="E237" s="9"/>
      <c r="F237" s="9"/>
      <c r="G237" s="9"/>
      <c r="H237" s="79"/>
      <c r="I237" s="21"/>
      <c r="J237" s="21"/>
      <c r="K237" s="21"/>
      <c r="L237" s="21"/>
      <c r="M237" s="21"/>
      <c r="N237" s="6"/>
    </row>
    <row r="238" spans="2:14" ht="15.75" x14ac:dyDescent="0.25">
      <c r="B238" s="7" t="s">
        <v>7</v>
      </c>
      <c r="C238" s="1">
        <v>1</v>
      </c>
      <c r="D238" s="1">
        <v>2</v>
      </c>
      <c r="E238" s="1">
        <v>3</v>
      </c>
      <c r="F238" s="1">
        <v>4</v>
      </c>
      <c r="G238" s="1">
        <v>5</v>
      </c>
      <c r="H238" s="77">
        <v>6</v>
      </c>
      <c r="I238" s="160" t="s">
        <v>259</v>
      </c>
      <c r="J238" s="161"/>
      <c r="K238" s="161"/>
      <c r="L238" s="161"/>
      <c r="M238" s="161"/>
      <c r="N238" s="162"/>
    </row>
    <row r="239" spans="2:14" ht="15.75" x14ac:dyDescent="0.25">
      <c r="B239" s="87" t="s">
        <v>10</v>
      </c>
      <c r="C239" s="19">
        <v>44</v>
      </c>
      <c r="D239" s="19">
        <v>43</v>
      </c>
      <c r="E239" s="19">
        <v>43</v>
      </c>
      <c r="F239" s="19">
        <v>42</v>
      </c>
      <c r="G239" s="19">
        <v>42</v>
      </c>
      <c r="H239" s="95">
        <v>42</v>
      </c>
      <c r="I239" s="163"/>
      <c r="J239" s="164"/>
      <c r="K239" s="164"/>
      <c r="L239" s="164"/>
      <c r="M239" s="164"/>
      <c r="N239" s="165"/>
    </row>
    <row r="240" spans="2:14" ht="16.5" thickBot="1" x14ac:dyDescent="0.3">
      <c r="B240" s="94" t="s">
        <v>12</v>
      </c>
      <c r="C240" s="93">
        <v>78</v>
      </c>
      <c r="D240" s="93">
        <v>100</v>
      </c>
      <c r="E240" s="93">
        <v>104</v>
      </c>
      <c r="F240" s="93">
        <v>80</v>
      </c>
      <c r="G240" s="93">
        <v>88</v>
      </c>
      <c r="H240" s="97">
        <v>80</v>
      </c>
      <c r="I240" s="166"/>
      <c r="J240" s="167"/>
      <c r="K240" s="167"/>
      <c r="L240" s="167"/>
      <c r="M240" s="167"/>
      <c r="N240" s="168"/>
    </row>
    <row r="241" spans="2:14" ht="15.75" thickBot="1" x14ac:dyDescent="0.3"/>
    <row r="242" spans="2:14" ht="15.75" x14ac:dyDescent="0.25">
      <c r="B242" s="2" t="s">
        <v>0</v>
      </c>
      <c r="C242" s="175" t="s">
        <v>202</v>
      </c>
      <c r="D242" s="176"/>
      <c r="E242" s="177" t="s">
        <v>1</v>
      </c>
      <c r="F242" s="178"/>
      <c r="G242" s="11">
        <v>140</v>
      </c>
      <c r="H242" s="179" t="s">
        <v>2</v>
      </c>
      <c r="I242" s="180"/>
      <c r="J242" s="181"/>
      <c r="K242" s="13">
        <v>140</v>
      </c>
      <c r="L242" s="3"/>
      <c r="M242" s="80" t="s">
        <v>11</v>
      </c>
      <c r="N242" s="98">
        <v>45507</v>
      </c>
    </row>
    <row r="243" spans="2:14" ht="15.75" x14ac:dyDescent="0.25">
      <c r="B243" s="4" t="s">
        <v>3</v>
      </c>
      <c r="C243" s="10"/>
      <c r="D243" s="169" t="s">
        <v>57</v>
      </c>
      <c r="E243" s="170"/>
      <c r="F243" s="171"/>
      <c r="G243" s="18"/>
      <c r="H243" s="172" t="s">
        <v>4</v>
      </c>
      <c r="I243" s="173"/>
      <c r="J243" s="174"/>
      <c r="K243" s="113"/>
      <c r="L243" s="15"/>
      <c r="M243" s="15"/>
      <c r="N243" s="16"/>
    </row>
    <row r="244" spans="2:14" ht="15.75" x14ac:dyDescent="0.25">
      <c r="B244" s="4" t="s">
        <v>5</v>
      </c>
      <c r="C244" s="19"/>
      <c r="D244" s="169" t="s">
        <v>8</v>
      </c>
      <c r="E244" s="170"/>
      <c r="F244" s="171"/>
      <c r="G244" s="17"/>
      <c r="H244" s="172" t="s">
        <v>254</v>
      </c>
      <c r="I244" s="173"/>
      <c r="J244" s="174"/>
      <c r="K244" s="12">
        <v>0.85</v>
      </c>
      <c r="L244" s="172" t="s">
        <v>6</v>
      </c>
      <c r="M244" s="174"/>
      <c r="N244" s="20">
        <v>3.44</v>
      </c>
    </row>
    <row r="245" spans="2:14" ht="16.5" thickBot="1" x14ac:dyDescent="0.3">
      <c r="B245" s="5"/>
      <c r="C245" s="9"/>
      <c r="D245" s="9"/>
      <c r="E245" s="9"/>
      <c r="F245" s="9"/>
      <c r="G245" s="9"/>
      <c r="H245" s="79"/>
      <c r="I245" s="21"/>
      <c r="J245" s="21"/>
      <c r="K245" s="21"/>
      <c r="L245" s="21"/>
      <c r="M245" s="21"/>
      <c r="N245" s="6"/>
    </row>
    <row r="246" spans="2:14" ht="15.75" x14ac:dyDescent="0.25">
      <c r="B246" s="7" t="s">
        <v>7</v>
      </c>
      <c r="C246" s="1">
        <v>1</v>
      </c>
      <c r="D246" s="1">
        <v>2</v>
      </c>
      <c r="E246" s="1">
        <v>3</v>
      </c>
      <c r="F246" s="1">
        <v>4</v>
      </c>
      <c r="G246" s="1">
        <v>5</v>
      </c>
      <c r="H246" s="77">
        <v>6</v>
      </c>
      <c r="I246" s="160" t="s">
        <v>260</v>
      </c>
      <c r="J246" s="161"/>
      <c r="K246" s="161"/>
      <c r="L246" s="161"/>
      <c r="M246" s="161"/>
      <c r="N246" s="162"/>
    </row>
    <row r="247" spans="2:14" ht="15.75" x14ac:dyDescent="0.25">
      <c r="B247" s="87" t="s">
        <v>10</v>
      </c>
      <c r="C247" s="19"/>
      <c r="D247" s="19"/>
      <c r="E247" s="19"/>
      <c r="F247" s="19"/>
      <c r="G247" s="19"/>
      <c r="H247" s="95"/>
      <c r="I247" s="163"/>
      <c r="J247" s="164"/>
      <c r="K247" s="164"/>
      <c r="L247" s="164"/>
      <c r="M247" s="164"/>
      <c r="N247" s="165"/>
    </row>
    <row r="248" spans="2:14" ht="16.5" thickBot="1" x14ac:dyDescent="0.3">
      <c r="B248" s="94" t="s">
        <v>12</v>
      </c>
      <c r="C248" s="93"/>
      <c r="D248" s="93"/>
      <c r="E248" s="93"/>
      <c r="F248" s="93"/>
      <c r="G248" s="93"/>
      <c r="H248" s="97"/>
      <c r="I248" s="166"/>
      <c r="J248" s="167"/>
      <c r="K248" s="167"/>
      <c r="L248" s="167"/>
      <c r="M248" s="167"/>
      <c r="N248" s="168"/>
    </row>
    <row r="249" spans="2:14" ht="15.75" thickBot="1" x14ac:dyDescent="0.3"/>
    <row r="250" spans="2:14" ht="15.75" x14ac:dyDescent="0.25">
      <c r="B250" s="2" t="s">
        <v>0</v>
      </c>
      <c r="C250" s="175" t="s">
        <v>202</v>
      </c>
      <c r="D250" s="176"/>
      <c r="E250" s="177" t="s">
        <v>1</v>
      </c>
      <c r="F250" s="178"/>
      <c r="G250" s="11">
        <v>140</v>
      </c>
      <c r="H250" s="179" t="s">
        <v>2</v>
      </c>
      <c r="I250" s="180"/>
      <c r="J250" s="181"/>
      <c r="K250" s="13">
        <v>140</v>
      </c>
      <c r="L250" s="3"/>
      <c r="M250" s="80" t="s">
        <v>11</v>
      </c>
      <c r="N250" s="98">
        <v>45514</v>
      </c>
    </row>
    <row r="251" spans="2:14" ht="15.75" x14ac:dyDescent="0.25">
      <c r="B251" s="4" t="s">
        <v>3</v>
      </c>
      <c r="C251" s="10"/>
      <c r="D251" s="169" t="s">
        <v>57</v>
      </c>
      <c r="E251" s="170"/>
      <c r="F251" s="171"/>
      <c r="G251" s="18"/>
      <c r="H251" s="172" t="s">
        <v>4</v>
      </c>
      <c r="I251" s="173"/>
      <c r="J251" s="174"/>
      <c r="K251" s="113"/>
      <c r="L251" s="15"/>
      <c r="M251" s="15"/>
      <c r="N251" s="16"/>
    </row>
    <row r="252" spans="2:14" ht="15.75" x14ac:dyDescent="0.25">
      <c r="B252" s="4" t="s">
        <v>5</v>
      </c>
      <c r="C252" s="19"/>
      <c r="D252" s="169" t="s">
        <v>8</v>
      </c>
      <c r="E252" s="170"/>
      <c r="F252" s="171"/>
      <c r="G252" s="17"/>
      <c r="H252" s="172" t="s">
        <v>254</v>
      </c>
      <c r="I252" s="173"/>
      <c r="J252" s="174"/>
      <c r="K252" s="12">
        <v>0.85</v>
      </c>
      <c r="L252" s="172" t="s">
        <v>6</v>
      </c>
      <c r="M252" s="174"/>
      <c r="N252" s="20">
        <v>3.44</v>
      </c>
    </row>
    <row r="253" spans="2:14" ht="16.5" thickBot="1" x14ac:dyDescent="0.3">
      <c r="B253" s="5"/>
      <c r="C253" s="9"/>
      <c r="D253" s="9"/>
      <c r="E253" s="9"/>
      <c r="F253" s="9"/>
      <c r="G253" s="9"/>
      <c r="H253" s="79"/>
      <c r="I253" s="21"/>
      <c r="J253" s="21"/>
      <c r="K253" s="21"/>
      <c r="L253" s="21"/>
      <c r="M253" s="21"/>
      <c r="N253" s="6"/>
    </row>
    <row r="254" spans="2:14" ht="15.75" x14ac:dyDescent="0.25">
      <c r="B254" s="7" t="s">
        <v>7</v>
      </c>
      <c r="C254" s="1">
        <v>1</v>
      </c>
      <c r="D254" s="1">
        <v>2</v>
      </c>
      <c r="E254" s="1">
        <v>3</v>
      </c>
      <c r="F254" s="1">
        <v>4</v>
      </c>
      <c r="G254" s="1">
        <v>5</v>
      </c>
      <c r="H254" s="77">
        <v>6</v>
      </c>
      <c r="I254" s="160" t="s">
        <v>261</v>
      </c>
      <c r="J254" s="161"/>
      <c r="K254" s="161"/>
      <c r="L254" s="161"/>
      <c r="M254" s="161"/>
      <c r="N254" s="162"/>
    </row>
    <row r="255" spans="2:14" ht="15.75" x14ac:dyDescent="0.25">
      <c r="B255" s="87" t="s">
        <v>10</v>
      </c>
      <c r="C255" s="19"/>
      <c r="D255" s="19"/>
      <c r="E255" s="19"/>
      <c r="F255" s="19"/>
      <c r="G255" s="19"/>
      <c r="H255" s="95"/>
      <c r="I255" s="163"/>
      <c r="J255" s="164"/>
      <c r="K255" s="164"/>
      <c r="L255" s="164"/>
      <c r="M255" s="164"/>
      <c r="N255" s="165"/>
    </row>
    <row r="256" spans="2:14" ht="16.5" thickBot="1" x14ac:dyDescent="0.3">
      <c r="B256" s="94" t="s">
        <v>12</v>
      </c>
      <c r="C256" s="93"/>
      <c r="D256" s="93"/>
      <c r="E256" s="93"/>
      <c r="F256" s="93"/>
      <c r="G256" s="93"/>
      <c r="H256" s="97"/>
      <c r="I256" s="166"/>
      <c r="J256" s="167"/>
      <c r="K256" s="167"/>
      <c r="L256" s="167"/>
      <c r="M256" s="167"/>
      <c r="N256" s="168"/>
    </row>
    <row r="257" spans="2:14" ht="15.75" thickBot="1" x14ac:dyDescent="0.3"/>
    <row r="258" spans="2:14" ht="15.75" x14ac:dyDescent="0.25">
      <c r="B258" s="2" t="s">
        <v>0</v>
      </c>
      <c r="C258" s="175" t="s">
        <v>202</v>
      </c>
      <c r="D258" s="176"/>
      <c r="E258" s="177" t="s">
        <v>1</v>
      </c>
      <c r="F258" s="178"/>
      <c r="G258" s="11">
        <v>140</v>
      </c>
      <c r="H258" s="179" t="s">
        <v>2</v>
      </c>
      <c r="I258" s="180"/>
      <c r="J258" s="181"/>
      <c r="K258" s="13">
        <v>140</v>
      </c>
      <c r="L258" s="3"/>
      <c r="M258" s="80" t="s">
        <v>11</v>
      </c>
      <c r="N258" s="98">
        <v>45521</v>
      </c>
    </row>
    <row r="259" spans="2:14" ht="15.75" x14ac:dyDescent="0.25">
      <c r="B259" s="4" t="s">
        <v>3</v>
      </c>
      <c r="C259" s="10">
        <v>26314</v>
      </c>
      <c r="D259" s="169" t="s">
        <v>57</v>
      </c>
      <c r="E259" s="170"/>
      <c r="F259" s="171"/>
      <c r="G259" s="18">
        <v>9360</v>
      </c>
      <c r="H259" s="172" t="s">
        <v>4</v>
      </c>
      <c r="I259" s="173"/>
      <c r="J259" s="174"/>
      <c r="K259" s="113">
        <v>63.6</v>
      </c>
      <c r="L259" s="15"/>
      <c r="M259" s="15"/>
      <c r="N259" s="16"/>
    </row>
    <row r="260" spans="2:14" ht="15.75" x14ac:dyDescent="0.25">
      <c r="B260" s="4" t="s">
        <v>5</v>
      </c>
      <c r="C260" s="19">
        <v>66</v>
      </c>
      <c r="D260" s="169" t="s">
        <v>8</v>
      </c>
      <c r="E260" s="170"/>
      <c r="F260" s="171"/>
      <c r="G260" s="17">
        <v>0.28000000000000003</v>
      </c>
      <c r="H260" s="172" t="s">
        <v>254</v>
      </c>
      <c r="I260" s="173"/>
      <c r="J260" s="174"/>
      <c r="K260" s="12">
        <v>0.85</v>
      </c>
      <c r="L260" s="172" t="s">
        <v>6</v>
      </c>
      <c r="M260" s="174"/>
      <c r="N260" s="20">
        <v>3.44</v>
      </c>
    </row>
    <row r="261" spans="2:14" ht="16.5" thickBot="1" x14ac:dyDescent="0.3">
      <c r="B261" s="5"/>
      <c r="C261" s="9"/>
      <c r="D261" s="9"/>
      <c r="E261" s="9"/>
      <c r="F261" s="9"/>
      <c r="G261" s="9"/>
      <c r="H261" s="79"/>
      <c r="I261" s="21"/>
      <c r="J261" s="21"/>
      <c r="K261" s="21"/>
      <c r="L261" s="21"/>
      <c r="M261" s="21"/>
      <c r="N261" s="6"/>
    </row>
    <row r="262" spans="2:14" ht="15.75" x14ac:dyDescent="0.25">
      <c r="B262" s="7" t="s">
        <v>7</v>
      </c>
      <c r="C262" s="1">
        <v>1</v>
      </c>
      <c r="D262" s="1">
        <v>2</v>
      </c>
      <c r="E262" s="1">
        <v>3</v>
      </c>
      <c r="F262" s="1">
        <v>4</v>
      </c>
      <c r="G262" s="1">
        <v>5</v>
      </c>
      <c r="H262" s="77">
        <v>6</v>
      </c>
      <c r="I262" s="160" t="s">
        <v>262</v>
      </c>
      <c r="J262" s="161"/>
      <c r="K262" s="161"/>
      <c r="L262" s="161"/>
      <c r="M262" s="161"/>
      <c r="N262" s="162"/>
    </row>
    <row r="263" spans="2:14" ht="15.75" x14ac:dyDescent="0.25">
      <c r="B263" s="87" t="s">
        <v>10</v>
      </c>
      <c r="C263" s="19">
        <v>42</v>
      </c>
      <c r="D263" s="19">
        <v>41</v>
      </c>
      <c r="E263" s="19">
        <v>40</v>
      </c>
      <c r="F263" s="19">
        <v>39</v>
      </c>
      <c r="G263" s="19">
        <v>40</v>
      </c>
      <c r="H263" s="95">
        <v>44</v>
      </c>
      <c r="I263" s="163"/>
      <c r="J263" s="164"/>
      <c r="K263" s="164"/>
      <c r="L263" s="164"/>
      <c r="M263" s="164"/>
      <c r="N263" s="165"/>
    </row>
    <row r="264" spans="2:14" ht="16.5" thickBot="1" x14ac:dyDescent="0.3">
      <c r="B264" s="94" t="s">
        <v>12</v>
      </c>
      <c r="C264" s="93">
        <v>98</v>
      </c>
      <c r="D264" s="93">
        <v>135</v>
      </c>
      <c r="E264" s="93">
        <v>130</v>
      </c>
      <c r="F264" s="93">
        <v>92</v>
      </c>
      <c r="G264" s="93">
        <v>100</v>
      </c>
      <c r="H264" s="97">
        <v>93</v>
      </c>
      <c r="I264" s="166"/>
      <c r="J264" s="167"/>
      <c r="K264" s="167"/>
      <c r="L264" s="167"/>
      <c r="M264" s="167"/>
      <c r="N264" s="168"/>
    </row>
    <row r="265" spans="2:14" ht="15.75" thickBot="1" x14ac:dyDescent="0.3"/>
    <row r="266" spans="2:14" ht="15.75" x14ac:dyDescent="0.25">
      <c r="B266" s="114" t="s">
        <v>0</v>
      </c>
      <c r="C266" s="182" t="s">
        <v>202</v>
      </c>
      <c r="D266" s="183"/>
      <c r="E266" s="184" t="s">
        <v>1</v>
      </c>
      <c r="F266" s="185"/>
      <c r="G266" s="115">
        <v>140</v>
      </c>
      <c r="H266" s="186" t="s">
        <v>2</v>
      </c>
      <c r="I266" s="187"/>
      <c r="J266" s="188"/>
      <c r="K266" s="116">
        <v>140</v>
      </c>
      <c r="L266" s="117"/>
      <c r="M266" s="118" t="s">
        <v>11</v>
      </c>
      <c r="N266" s="119">
        <v>45528</v>
      </c>
    </row>
    <row r="267" spans="2:14" ht="15.75" x14ac:dyDescent="0.25">
      <c r="B267" s="120" t="s">
        <v>3</v>
      </c>
      <c r="C267" s="121">
        <v>26432</v>
      </c>
      <c r="D267" s="189" t="s">
        <v>57</v>
      </c>
      <c r="E267" s="190"/>
      <c r="F267" s="191"/>
      <c r="G267" s="122">
        <v>7520</v>
      </c>
      <c r="H267" s="192" t="s">
        <v>4</v>
      </c>
      <c r="I267" s="193"/>
      <c r="J267" s="194"/>
      <c r="K267" s="123">
        <v>60</v>
      </c>
      <c r="L267" s="124"/>
      <c r="M267" s="124"/>
      <c r="N267" s="125"/>
    </row>
    <row r="268" spans="2:14" ht="15.75" x14ac:dyDescent="0.25">
      <c r="B268" s="120" t="s">
        <v>5</v>
      </c>
      <c r="C268" s="126">
        <v>67</v>
      </c>
      <c r="D268" s="189" t="s">
        <v>8</v>
      </c>
      <c r="E268" s="190"/>
      <c r="F268" s="191"/>
      <c r="G268" s="127">
        <v>0.28000000000000003</v>
      </c>
      <c r="H268" s="192" t="s">
        <v>254</v>
      </c>
      <c r="I268" s="193"/>
      <c r="J268" s="194"/>
      <c r="K268" s="128">
        <v>0.85</v>
      </c>
      <c r="L268" s="192" t="s">
        <v>6</v>
      </c>
      <c r="M268" s="194"/>
      <c r="N268" s="129">
        <v>3.29</v>
      </c>
    </row>
    <row r="269" spans="2:14" ht="16.5" thickBot="1" x14ac:dyDescent="0.3">
      <c r="B269" s="130"/>
      <c r="C269" s="131"/>
      <c r="D269" s="131"/>
      <c r="E269" s="131"/>
      <c r="F269" s="131"/>
      <c r="G269" s="131"/>
      <c r="H269" s="132"/>
      <c r="I269" s="133"/>
      <c r="J269" s="133"/>
      <c r="K269" s="133"/>
      <c r="L269" s="133"/>
      <c r="M269" s="133"/>
      <c r="N269" s="134"/>
    </row>
    <row r="270" spans="2:14" ht="15.75" customHeight="1" x14ac:dyDescent="0.25">
      <c r="B270" s="135" t="s">
        <v>7</v>
      </c>
      <c r="C270" s="136">
        <v>1</v>
      </c>
      <c r="D270" s="136">
        <v>2</v>
      </c>
      <c r="E270" s="136">
        <v>3</v>
      </c>
      <c r="F270" s="136">
        <v>4</v>
      </c>
      <c r="G270" s="136">
        <v>5</v>
      </c>
      <c r="H270" s="137">
        <v>6</v>
      </c>
      <c r="I270" s="195" t="s">
        <v>263</v>
      </c>
      <c r="J270" s="196"/>
      <c r="K270" s="196"/>
      <c r="L270" s="196"/>
      <c r="M270" s="196"/>
      <c r="N270" s="197"/>
    </row>
    <row r="271" spans="2:14" ht="15.75" x14ac:dyDescent="0.25">
      <c r="B271" s="138" t="s">
        <v>10</v>
      </c>
      <c r="C271" s="126">
        <v>45</v>
      </c>
      <c r="D271" s="126">
        <v>70</v>
      </c>
      <c r="E271" s="126">
        <v>52</v>
      </c>
      <c r="F271" s="126">
        <v>50</v>
      </c>
      <c r="G271" s="126">
        <v>48</v>
      </c>
      <c r="H271" s="139">
        <v>51</v>
      </c>
      <c r="I271" s="198"/>
      <c r="J271" s="199"/>
      <c r="K271" s="199"/>
      <c r="L271" s="199"/>
      <c r="M271" s="199"/>
      <c r="N271" s="200"/>
    </row>
    <row r="272" spans="2:14" ht="16.5" thickBot="1" x14ac:dyDescent="0.3">
      <c r="B272" s="140" t="s">
        <v>12</v>
      </c>
      <c r="C272" s="141">
        <v>159</v>
      </c>
      <c r="D272" s="141">
        <v>170</v>
      </c>
      <c r="E272" s="141">
        <v>176</v>
      </c>
      <c r="F272" s="141">
        <v>163</v>
      </c>
      <c r="G272" s="141">
        <v>141</v>
      </c>
      <c r="H272" s="142">
        <v>118</v>
      </c>
      <c r="I272" s="201"/>
      <c r="J272" s="202"/>
      <c r="K272" s="202"/>
      <c r="L272" s="202"/>
      <c r="M272" s="202"/>
      <c r="N272" s="203"/>
    </row>
    <row r="273" spans="2:14" ht="15.75" thickBot="1" x14ac:dyDescent="0.3"/>
    <row r="274" spans="2:14" ht="15.75" x14ac:dyDescent="0.25">
      <c r="B274" s="2" t="s">
        <v>0</v>
      </c>
      <c r="C274" s="175" t="s">
        <v>202</v>
      </c>
      <c r="D274" s="176"/>
      <c r="E274" s="177" t="s">
        <v>1</v>
      </c>
      <c r="F274" s="178"/>
      <c r="G274" s="11">
        <v>140</v>
      </c>
      <c r="H274" s="179" t="s">
        <v>2</v>
      </c>
      <c r="I274" s="180"/>
      <c r="J274" s="181"/>
      <c r="K274" s="13">
        <v>140</v>
      </c>
      <c r="L274" s="3"/>
      <c r="M274" s="80" t="s">
        <v>11</v>
      </c>
      <c r="N274" s="98">
        <v>45535</v>
      </c>
    </row>
    <row r="275" spans="2:14" ht="15.75" x14ac:dyDescent="0.25">
      <c r="B275" s="4" t="s">
        <v>3</v>
      </c>
      <c r="C275" s="10">
        <v>26510</v>
      </c>
      <c r="D275" s="169" t="s">
        <v>57</v>
      </c>
      <c r="E275" s="170"/>
      <c r="F275" s="171"/>
      <c r="G275" s="18">
        <v>8020</v>
      </c>
      <c r="H275" s="172" t="s">
        <v>4</v>
      </c>
      <c r="I275" s="173"/>
      <c r="J275" s="174"/>
      <c r="K275" s="113">
        <v>60</v>
      </c>
      <c r="L275" s="15"/>
      <c r="M275" s="15"/>
      <c r="N275" s="16"/>
    </row>
    <row r="276" spans="2:14" ht="15.75" x14ac:dyDescent="0.25">
      <c r="B276" s="4" t="s">
        <v>5</v>
      </c>
      <c r="C276" s="19">
        <v>70</v>
      </c>
      <c r="D276" s="169" t="s">
        <v>8</v>
      </c>
      <c r="E276" s="170"/>
      <c r="F276" s="171"/>
      <c r="G276" s="17">
        <v>0.28000000000000003</v>
      </c>
      <c r="H276" s="172" t="s">
        <v>254</v>
      </c>
      <c r="I276" s="173"/>
      <c r="J276" s="174"/>
      <c r="K276" s="12">
        <v>0.9</v>
      </c>
      <c r="L276" s="172" t="s">
        <v>6</v>
      </c>
      <c r="M276" s="174"/>
      <c r="N276" s="20">
        <v>3.44</v>
      </c>
    </row>
    <row r="277" spans="2:14" ht="16.5" thickBot="1" x14ac:dyDescent="0.3">
      <c r="B277" s="5"/>
      <c r="C277" s="9"/>
      <c r="D277" s="9"/>
      <c r="E277" s="9"/>
      <c r="F277" s="9"/>
      <c r="G277" s="9"/>
      <c r="H277" s="79"/>
      <c r="I277" s="21"/>
      <c r="J277" s="21"/>
      <c r="K277" s="21"/>
      <c r="L277" s="21"/>
      <c r="M277" s="21"/>
      <c r="N277" s="6"/>
    </row>
    <row r="278" spans="2:14" ht="15.75" x14ac:dyDescent="0.25">
      <c r="B278" s="7" t="s">
        <v>7</v>
      </c>
      <c r="C278" s="1">
        <v>1</v>
      </c>
      <c r="D278" s="1">
        <v>2</v>
      </c>
      <c r="E278" s="1">
        <v>3</v>
      </c>
      <c r="F278" s="1">
        <v>4</v>
      </c>
      <c r="G278" s="1">
        <v>5</v>
      </c>
      <c r="H278" s="77">
        <v>6</v>
      </c>
      <c r="I278" s="160" t="s">
        <v>285</v>
      </c>
      <c r="J278" s="161"/>
      <c r="K278" s="161"/>
      <c r="L278" s="161"/>
      <c r="M278" s="161"/>
      <c r="N278" s="162"/>
    </row>
    <row r="279" spans="2:14" ht="15.75" x14ac:dyDescent="0.25">
      <c r="B279" s="87" t="s">
        <v>10</v>
      </c>
      <c r="C279" s="19">
        <v>43</v>
      </c>
      <c r="D279" s="19">
        <v>42</v>
      </c>
      <c r="E279" s="19">
        <v>42</v>
      </c>
      <c r="F279" s="19">
        <v>40</v>
      </c>
      <c r="G279" s="19">
        <v>41</v>
      </c>
      <c r="H279" s="95">
        <v>42</v>
      </c>
      <c r="I279" s="163"/>
      <c r="J279" s="164"/>
      <c r="K279" s="164"/>
      <c r="L279" s="164"/>
      <c r="M279" s="164"/>
      <c r="N279" s="165"/>
    </row>
    <row r="280" spans="2:14" ht="16.5" thickBot="1" x14ac:dyDescent="0.3">
      <c r="B280" s="94" t="s">
        <v>12</v>
      </c>
      <c r="C280" s="93">
        <v>97</v>
      </c>
      <c r="D280" s="93">
        <v>120</v>
      </c>
      <c r="E280" s="93">
        <v>122</v>
      </c>
      <c r="F280" s="93">
        <v>95</v>
      </c>
      <c r="G280" s="93">
        <v>98</v>
      </c>
      <c r="H280" s="97">
        <v>94</v>
      </c>
      <c r="I280" s="166"/>
      <c r="J280" s="167"/>
      <c r="K280" s="167"/>
      <c r="L280" s="167"/>
      <c r="M280" s="167"/>
      <c r="N280" s="168"/>
    </row>
    <row r="281" spans="2:14" ht="15.75" thickBot="1" x14ac:dyDescent="0.3"/>
    <row r="282" spans="2:14" ht="15.75" x14ac:dyDescent="0.25">
      <c r="B282" s="2" t="s">
        <v>0</v>
      </c>
      <c r="C282" s="175" t="s">
        <v>202</v>
      </c>
      <c r="D282" s="176"/>
      <c r="E282" s="177" t="s">
        <v>1</v>
      </c>
      <c r="F282" s="178"/>
      <c r="G282" s="11">
        <v>140</v>
      </c>
      <c r="H282" s="179" t="s">
        <v>2</v>
      </c>
      <c r="I282" s="180"/>
      <c r="J282" s="181"/>
      <c r="K282" s="13">
        <v>140</v>
      </c>
      <c r="L282" s="3"/>
      <c r="M282" s="80" t="s">
        <v>11</v>
      </c>
      <c r="N282" s="98">
        <v>45542</v>
      </c>
    </row>
    <row r="283" spans="2:14" ht="15.75" x14ac:dyDescent="0.25">
      <c r="B283" s="4" t="s">
        <v>3</v>
      </c>
      <c r="C283" s="10">
        <v>26674</v>
      </c>
      <c r="D283" s="169" t="s">
        <v>57</v>
      </c>
      <c r="E283" s="170"/>
      <c r="F283" s="171"/>
      <c r="G283" s="18">
        <v>9230</v>
      </c>
      <c r="H283" s="172" t="s">
        <v>4</v>
      </c>
      <c r="I283" s="173"/>
      <c r="J283" s="174"/>
      <c r="K283" s="113">
        <v>63.6</v>
      </c>
      <c r="L283" s="15"/>
      <c r="M283" s="15"/>
      <c r="N283" s="16"/>
    </row>
    <row r="284" spans="2:14" ht="15.75" x14ac:dyDescent="0.25">
      <c r="B284" s="4" t="s">
        <v>5</v>
      </c>
      <c r="C284" s="19">
        <v>77</v>
      </c>
      <c r="D284" s="169" t="s">
        <v>8</v>
      </c>
      <c r="E284" s="170"/>
      <c r="F284" s="171"/>
      <c r="G284" s="17">
        <v>0.28000000000000003</v>
      </c>
      <c r="H284" s="172" t="s">
        <v>254</v>
      </c>
      <c r="I284" s="173"/>
      <c r="J284" s="174"/>
      <c r="K284" s="12">
        <v>0.85</v>
      </c>
      <c r="L284" s="172" t="s">
        <v>6</v>
      </c>
      <c r="M284" s="174"/>
      <c r="N284" s="20">
        <v>3.44</v>
      </c>
    </row>
    <row r="285" spans="2:14" ht="16.5" thickBot="1" x14ac:dyDescent="0.3">
      <c r="B285" s="5"/>
      <c r="C285" s="9"/>
      <c r="D285" s="9"/>
      <c r="E285" s="9"/>
      <c r="F285" s="9"/>
      <c r="G285" s="9"/>
      <c r="H285" s="79"/>
      <c r="I285" s="21"/>
      <c r="J285" s="21"/>
      <c r="K285" s="21"/>
      <c r="L285" s="21"/>
      <c r="M285" s="21"/>
      <c r="N285" s="6"/>
    </row>
    <row r="286" spans="2:14" ht="15.75" x14ac:dyDescent="0.25">
      <c r="B286" s="7" t="s">
        <v>7</v>
      </c>
      <c r="C286" s="1">
        <v>1</v>
      </c>
      <c r="D286" s="1">
        <v>2</v>
      </c>
      <c r="E286" s="1">
        <v>3</v>
      </c>
      <c r="F286" s="1">
        <v>4</v>
      </c>
      <c r="G286" s="1">
        <v>5</v>
      </c>
      <c r="H286" s="77">
        <v>6</v>
      </c>
      <c r="I286" s="160" t="s">
        <v>286</v>
      </c>
      <c r="J286" s="161"/>
      <c r="K286" s="161"/>
      <c r="L286" s="161"/>
      <c r="M286" s="161"/>
      <c r="N286" s="162"/>
    </row>
    <row r="287" spans="2:14" ht="15.75" x14ac:dyDescent="0.25">
      <c r="B287" s="87" t="s">
        <v>10</v>
      </c>
      <c r="C287" s="19">
        <v>44</v>
      </c>
      <c r="D287" s="19">
        <v>43</v>
      </c>
      <c r="E287" s="19">
        <v>44</v>
      </c>
      <c r="F287" s="19">
        <v>41</v>
      </c>
      <c r="G287" s="19">
        <v>42</v>
      </c>
      <c r="H287" s="95">
        <v>42</v>
      </c>
      <c r="I287" s="163"/>
      <c r="J287" s="164"/>
      <c r="K287" s="164"/>
      <c r="L287" s="164"/>
      <c r="M287" s="164"/>
      <c r="N287" s="165"/>
    </row>
    <row r="288" spans="2:14" ht="16.5" thickBot="1" x14ac:dyDescent="0.3">
      <c r="B288" s="94" t="s">
        <v>12</v>
      </c>
      <c r="C288" s="93">
        <v>98</v>
      </c>
      <c r="D288" s="93">
        <v>118</v>
      </c>
      <c r="E288" s="93">
        <v>115</v>
      </c>
      <c r="F288" s="93">
        <v>96</v>
      </c>
      <c r="G288" s="93">
        <v>98</v>
      </c>
      <c r="H288" s="97">
        <v>95</v>
      </c>
      <c r="I288" s="166"/>
      <c r="J288" s="167"/>
      <c r="K288" s="167"/>
      <c r="L288" s="167"/>
      <c r="M288" s="167"/>
      <c r="N288" s="168"/>
    </row>
    <row r="289" spans="2:14" ht="15.75" thickBot="1" x14ac:dyDescent="0.3"/>
    <row r="290" spans="2:14" ht="15.75" x14ac:dyDescent="0.25">
      <c r="B290" s="2" t="s">
        <v>0</v>
      </c>
      <c r="C290" s="175" t="s">
        <v>202</v>
      </c>
      <c r="D290" s="176"/>
      <c r="E290" s="177" t="s">
        <v>1</v>
      </c>
      <c r="F290" s="178"/>
      <c r="G290" s="11">
        <v>140</v>
      </c>
      <c r="H290" s="179" t="s">
        <v>2</v>
      </c>
      <c r="I290" s="180"/>
      <c r="J290" s="181"/>
      <c r="K290" s="13">
        <v>140</v>
      </c>
      <c r="L290" s="3"/>
      <c r="M290" s="80" t="s">
        <v>11</v>
      </c>
      <c r="N290" s="98">
        <v>45549</v>
      </c>
    </row>
    <row r="291" spans="2:14" ht="15.75" x14ac:dyDescent="0.25">
      <c r="B291" s="4" t="s">
        <v>3</v>
      </c>
      <c r="C291" s="10">
        <v>26775</v>
      </c>
      <c r="D291" s="169" t="s">
        <v>57</v>
      </c>
      <c r="E291" s="170"/>
      <c r="F291" s="171"/>
      <c r="G291" s="18">
        <v>7482</v>
      </c>
      <c r="H291" s="172" t="s">
        <v>4</v>
      </c>
      <c r="I291" s="173"/>
      <c r="J291" s="174"/>
      <c r="K291" s="113">
        <v>60</v>
      </c>
      <c r="L291" s="15"/>
      <c r="M291" s="15"/>
      <c r="N291" s="16"/>
    </row>
    <row r="292" spans="2:14" ht="15.75" x14ac:dyDescent="0.25">
      <c r="B292" s="4" t="s">
        <v>5</v>
      </c>
      <c r="C292" s="19">
        <v>68</v>
      </c>
      <c r="D292" s="169" t="s">
        <v>8</v>
      </c>
      <c r="E292" s="170"/>
      <c r="F292" s="171"/>
      <c r="G292" s="17">
        <v>0.28000000000000003</v>
      </c>
      <c r="H292" s="172" t="s">
        <v>254</v>
      </c>
      <c r="I292" s="173"/>
      <c r="J292" s="174"/>
      <c r="K292" s="12">
        <v>0.9</v>
      </c>
      <c r="L292" s="172" t="s">
        <v>6</v>
      </c>
      <c r="M292" s="174"/>
      <c r="N292" s="20">
        <v>3.3</v>
      </c>
    </row>
    <row r="293" spans="2:14" ht="16.5" thickBot="1" x14ac:dyDescent="0.3">
      <c r="B293" s="5"/>
      <c r="C293" s="9"/>
      <c r="D293" s="9"/>
      <c r="E293" s="9"/>
      <c r="F293" s="9"/>
      <c r="G293" s="9"/>
      <c r="H293" s="79"/>
      <c r="I293" s="21"/>
      <c r="J293" s="21"/>
      <c r="K293" s="21"/>
      <c r="L293" s="21"/>
      <c r="M293" s="21"/>
      <c r="N293" s="6"/>
    </row>
    <row r="294" spans="2:14" ht="15.75" x14ac:dyDescent="0.25">
      <c r="B294" s="7" t="s">
        <v>7</v>
      </c>
      <c r="C294" s="1">
        <v>1</v>
      </c>
      <c r="D294" s="1">
        <v>2</v>
      </c>
      <c r="E294" s="1">
        <v>3</v>
      </c>
      <c r="F294" s="1">
        <v>4</v>
      </c>
      <c r="G294" s="1">
        <v>5</v>
      </c>
      <c r="H294" s="77">
        <v>6</v>
      </c>
      <c r="I294" s="160" t="s">
        <v>264</v>
      </c>
      <c r="J294" s="161"/>
      <c r="K294" s="161"/>
      <c r="L294" s="161"/>
      <c r="M294" s="161"/>
      <c r="N294" s="162"/>
    </row>
    <row r="295" spans="2:14" ht="15.75" x14ac:dyDescent="0.25">
      <c r="B295" s="87" t="s">
        <v>10</v>
      </c>
      <c r="C295" s="19">
        <v>43</v>
      </c>
      <c r="D295" s="19">
        <v>44</v>
      </c>
      <c r="E295" s="19">
        <v>41</v>
      </c>
      <c r="F295" s="19">
        <v>41</v>
      </c>
      <c r="G295" s="19">
        <v>42</v>
      </c>
      <c r="H295" s="95">
        <v>43</v>
      </c>
      <c r="I295" s="163"/>
      <c r="J295" s="164"/>
      <c r="K295" s="164"/>
      <c r="L295" s="164"/>
      <c r="M295" s="164"/>
      <c r="N295" s="165"/>
    </row>
    <row r="296" spans="2:14" ht="16.5" thickBot="1" x14ac:dyDescent="0.3">
      <c r="B296" s="94" t="s">
        <v>12</v>
      </c>
      <c r="C296" s="93">
        <v>109</v>
      </c>
      <c r="D296" s="93">
        <v>120</v>
      </c>
      <c r="E296" s="93">
        <v>118</v>
      </c>
      <c r="F296" s="93">
        <v>108</v>
      </c>
      <c r="G296" s="93">
        <v>102</v>
      </c>
      <c r="H296" s="97">
        <v>105</v>
      </c>
      <c r="I296" s="166"/>
      <c r="J296" s="167"/>
      <c r="K296" s="167"/>
      <c r="L296" s="167"/>
      <c r="M296" s="167"/>
      <c r="N296" s="168"/>
    </row>
    <row r="297" spans="2:14" ht="15.75" thickBot="1" x14ac:dyDescent="0.3"/>
    <row r="298" spans="2:14" ht="15.75" x14ac:dyDescent="0.25">
      <c r="B298" s="2" t="s">
        <v>0</v>
      </c>
      <c r="C298" s="175" t="s">
        <v>202</v>
      </c>
      <c r="D298" s="176"/>
      <c r="E298" s="177" t="s">
        <v>1</v>
      </c>
      <c r="F298" s="178"/>
      <c r="G298" s="11">
        <v>140</v>
      </c>
      <c r="H298" s="179" t="s">
        <v>2</v>
      </c>
      <c r="I298" s="180"/>
      <c r="J298" s="181"/>
      <c r="K298" s="13">
        <v>140</v>
      </c>
      <c r="L298" s="3"/>
      <c r="M298" s="80" t="s">
        <v>11</v>
      </c>
      <c r="N298" s="98">
        <v>45554</v>
      </c>
    </row>
    <row r="299" spans="2:14" ht="15.75" x14ac:dyDescent="0.25">
      <c r="B299" s="4" t="s">
        <v>3</v>
      </c>
      <c r="C299" s="10">
        <v>26894</v>
      </c>
      <c r="D299" s="169" t="s">
        <v>57</v>
      </c>
      <c r="E299" s="170"/>
      <c r="F299" s="171"/>
      <c r="G299" s="18">
        <v>7540</v>
      </c>
      <c r="H299" s="172" t="s">
        <v>4</v>
      </c>
      <c r="I299" s="173"/>
      <c r="J299" s="174"/>
      <c r="K299" s="113">
        <v>60</v>
      </c>
      <c r="L299" s="15"/>
      <c r="M299" s="15"/>
      <c r="N299" s="16"/>
    </row>
    <row r="300" spans="2:14" ht="15.75" x14ac:dyDescent="0.25">
      <c r="B300" s="4" t="s">
        <v>5</v>
      </c>
      <c r="C300" s="19">
        <v>72</v>
      </c>
      <c r="D300" s="169" t="s">
        <v>8</v>
      </c>
      <c r="E300" s="170"/>
      <c r="F300" s="171"/>
      <c r="G300" s="17">
        <v>0.28000000000000003</v>
      </c>
      <c r="H300" s="172" t="s">
        <v>254</v>
      </c>
      <c r="I300" s="173"/>
      <c r="J300" s="174"/>
      <c r="K300" s="12">
        <v>0.9</v>
      </c>
      <c r="L300" s="172" t="s">
        <v>6</v>
      </c>
      <c r="M300" s="174"/>
      <c r="N300" s="20">
        <v>3.3</v>
      </c>
    </row>
    <row r="301" spans="2:14" ht="16.5" thickBot="1" x14ac:dyDescent="0.3">
      <c r="B301" s="5"/>
      <c r="C301" s="9"/>
      <c r="D301" s="9"/>
      <c r="E301" s="9"/>
      <c r="F301" s="9"/>
      <c r="G301" s="9"/>
      <c r="H301" s="79"/>
      <c r="I301" s="21"/>
      <c r="J301" s="21"/>
      <c r="K301" s="21"/>
      <c r="L301" s="21"/>
      <c r="M301" s="21"/>
      <c r="N301" s="6"/>
    </row>
    <row r="302" spans="2:14" ht="15.75" x14ac:dyDescent="0.25">
      <c r="B302" s="7" t="s">
        <v>7</v>
      </c>
      <c r="C302" s="1">
        <v>1</v>
      </c>
      <c r="D302" s="1">
        <v>2</v>
      </c>
      <c r="E302" s="1">
        <v>3</v>
      </c>
      <c r="F302" s="1">
        <v>4</v>
      </c>
      <c r="G302" s="1">
        <v>5</v>
      </c>
      <c r="H302" s="77">
        <v>6</v>
      </c>
      <c r="I302" s="160" t="s">
        <v>265</v>
      </c>
      <c r="J302" s="161"/>
      <c r="K302" s="161"/>
      <c r="L302" s="161"/>
      <c r="M302" s="161"/>
      <c r="N302" s="162"/>
    </row>
    <row r="303" spans="2:14" ht="15.75" x14ac:dyDescent="0.25">
      <c r="B303" s="87" t="s">
        <v>10</v>
      </c>
      <c r="C303" s="19">
        <v>44</v>
      </c>
      <c r="D303" s="19">
        <v>41</v>
      </c>
      <c r="E303" s="19">
        <v>43</v>
      </c>
      <c r="F303" s="19">
        <v>41</v>
      </c>
      <c r="G303" s="19">
        <v>42</v>
      </c>
      <c r="H303" s="95">
        <v>44</v>
      </c>
      <c r="I303" s="163"/>
      <c r="J303" s="164"/>
      <c r="K303" s="164"/>
      <c r="L303" s="164"/>
      <c r="M303" s="164"/>
      <c r="N303" s="165"/>
    </row>
    <row r="304" spans="2:14" ht="16.5" thickBot="1" x14ac:dyDescent="0.3">
      <c r="B304" s="94" t="s">
        <v>12</v>
      </c>
      <c r="C304" s="93">
        <v>115</v>
      </c>
      <c r="D304" s="93">
        <v>112</v>
      </c>
      <c r="E304" s="93">
        <v>105</v>
      </c>
      <c r="F304" s="93">
        <v>112</v>
      </c>
      <c r="G304" s="93">
        <v>116</v>
      </c>
      <c r="H304" s="97">
        <v>113</v>
      </c>
      <c r="I304" s="166"/>
      <c r="J304" s="167"/>
      <c r="K304" s="167"/>
      <c r="L304" s="167"/>
      <c r="M304" s="167"/>
      <c r="N304" s="168"/>
    </row>
    <row r="305" spans="2:14" ht="15.75" thickBot="1" x14ac:dyDescent="0.3"/>
    <row r="306" spans="2:14" ht="15.75" x14ac:dyDescent="0.25">
      <c r="B306" s="2" t="s">
        <v>0</v>
      </c>
      <c r="C306" s="175" t="s">
        <v>202</v>
      </c>
      <c r="D306" s="176"/>
      <c r="E306" s="177" t="s">
        <v>1</v>
      </c>
      <c r="F306" s="178"/>
      <c r="G306" s="11">
        <v>140</v>
      </c>
      <c r="H306" s="179" t="s">
        <v>2</v>
      </c>
      <c r="I306" s="180"/>
      <c r="J306" s="181"/>
      <c r="K306" s="13">
        <v>140</v>
      </c>
      <c r="L306" s="3"/>
      <c r="M306" s="80" t="s">
        <v>11</v>
      </c>
      <c r="N306" s="98">
        <v>45563</v>
      </c>
    </row>
    <row r="307" spans="2:14" ht="15.75" x14ac:dyDescent="0.25">
      <c r="B307" s="4" t="s">
        <v>3</v>
      </c>
      <c r="C307" s="10">
        <v>26980</v>
      </c>
      <c r="D307" s="169" t="s">
        <v>57</v>
      </c>
      <c r="E307" s="170"/>
      <c r="F307" s="171"/>
      <c r="G307" s="18"/>
      <c r="H307" s="172" t="s">
        <v>4</v>
      </c>
      <c r="I307" s="173"/>
      <c r="J307" s="174"/>
      <c r="K307" s="113"/>
      <c r="L307" s="15"/>
      <c r="M307" s="15"/>
      <c r="N307" s="16"/>
    </row>
    <row r="308" spans="2:14" ht="15.75" x14ac:dyDescent="0.25">
      <c r="B308" s="4" t="s">
        <v>5</v>
      </c>
      <c r="C308" s="19"/>
      <c r="D308" s="169" t="s">
        <v>8</v>
      </c>
      <c r="E308" s="170"/>
      <c r="F308" s="171"/>
      <c r="G308" s="17">
        <v>0.28000000000000003</v>
      </c>
      <c r="H308" s="172" t="s">
        <v>254</v>
      </c>
      <c r="I308" s="173"/>
      <c r="J308" s="174"/>
      <c r="K308" s="12">
        <v>0.9</v>
      </c>
      <c r="L308" s="172" t="s">
        <v>6</v>
      </c>
      <c r="M308" s="174"/>
      <c r="N308" s="20">
        <v>3.3</v>
      </c>
    </row>
    <row r="309" spans="2:14" ht="16.5" thickBot="1" x14ac:dyDescent="0.3">
      <c r="B309" s="5"/>
      <c r="C309" s="9"/>
      <c r="D309" s="9"/>
      <c r="E309" s="9"/>
      <c r="F309" s="9"/>
      <c r="G309" s="9"/>
      <c r="H309" s="79"/>
      <c r="I309" s="21"/>
      <c r="J309" s="21"/>
      <c r="K309" s="21"/>
      <c r="L309" s="21"/>
      <c r="M309" s="21"/>
      <c r="N309" s="6"/>
    </row>
    <row r="310" spans="2:14" ht="15.75" x14ac:dyDescent="0.25">
      <c r="B310" s="7" t="s">
        <v>7</v>
      </c>
      <c r="C310" s="1">
        <v>1</v>
      </c>
      <c r="D310" s="1">
        <v>2</v>
      </c>
      <c r="E310" s="1">
        <v>3</v>
      </c>
      <c r="F310" s="1">
        <v>4</v>
      </c>
      <c r="G310" s="1">
        <v>5</v>
      </c>
      <c r="H310" s="77">
        <v>6</v>
      </c>
      <c r="I310" s="160" t="s">
        <v>266</v>
      </c>
      <c r="J310" s="161"/>
      <c r="K310" s="161"/>
      <c r="L310" s="161"/>
      <c r="M310" s="161"/>
      <c r="N310" s="162"/>
    </row>
    <row r="311" spans="2:14" ht="15.75" x14ac:dyDescent="0.25">
      <c r="B311" s="87" t="s">
        <v>10</v>
      </c>
      <c r="C311" s="19"/>
      <c r="D311" s="19"/>
      <c r="E311" s="19"/>
      <c r="F311" s="19"/>
      <c r="G311" s="19"/>
      <c r="H311" s="95"/>
      <c r="I311" s="163"/>
      <c r="J311" s="164"/>
      <c r="K311" s="164"/>
      <c r="L311" s="164"/>
      <c r="M311" s="164"/>
      <c r="N311" s="165"/>
    </row>
    <row r="312" spans="2:14" ht="16.5" thickBot="1" x14ac:dyDescent="0.3">
      <c r="B312" s="94" t="s">
        <v>12</v>
      </c>
      <c r="C312" s="93"/>
      <c r="D312" s="93"/>
      <c r="E312" s="93"/>
      <c r="F312" s="93"/>
      <c r="G312" s="93"/>
      <c r="H312" s="97"/>
      <c r="I312" s="166"/>
      <c r="J312" s="167"/>
      <c r="K312" s="167"/>
      <c r="L312" s="167"/>
      <c r="M312" s="167"/>
      <c r="N312" s="168"/>
    </row>
    <row r="313" spans="2:14" ht="15.75" thickBot="1" x14ac:dyDescent="0.3"/>
    <row r="314" spans="2:14" ht="15.75" x14ac:dyDescent="0.25">
      <c r="B314" s="2" t="s">
        <v>0</v>
      </c>
      <c r="C314" s="175" t="s">
        <v>202</v>
      </c>
      <c r="D314" s="176"/>
      <c r="E314" s="177" t="s">
        <v>1</v>
      </c>
      <c r="F314" s="178"/>
      <c r="G314" s="11">
        <v>140</v>
      </c>
      <c r="H314" s="179" t="s">
        <v>2</v>
      </c>
      <c r="I314" s="180"/>
      <c r="J314" s="181"/>
      <c r="K314" s="13">
        <v>140</v>
      </c>
      <c r="L314" s="3"/>
      <c r="M314" s="80" t="s">
        <v>11</v>
      </c>
      <c r="N314" s="98">
        <v>45570</v>
      </c>
    </row>
    <row r="315" spans="2:14" ht="15.75" x14ac:dyDescent="0.25">
      <c r="B315" s="4" t="s">
        <v>3</v>
      </c>
      <c r="C315" s="10">
        <v>27020</v>
      </c>
      <c r="D315" s="169" t="s">
        <v>57</v>
      </c>
      <c r="E315" s="170"/>
      <c r="F315" s="171"/>
      <c r="G315" s="18"/>
      <c r="H315" s="172" t="s">
        <v>4</v>
      </c>
      <c r="I315" s="173"/>
      <c r="J315" s="174"/>
      <c r="K315" s="113"/>
      <c r="L315" s="15"/>
      <c r="M315" s="15"/>
      <c r="N315" s="16"/>
    </row>
    <row r="316" spans="2:14" ht="15.75" x14ac:dyDescent="0.25">
      <c r="B316" s="4" t="s">
        <v>5</v>
      </c>
      <c r="C316" s="19"/>
      <c r="D316" s="169" t="s">
        <v>8</v>
      </c>
      <c r="E316" s="170"/>
      <c r="F316" s="171"/>
      <c r="G316" s="17">
        <v>0.28000000000000003</v>
      </c>
      <c r="H316" s="172" t="s">
        <v>254</v>
      </c>
      <c r="I316" s="173"/>
      <c r="J316" s="174"/>
      <c r="K316" s="12">
        <v>0.9</v>
      </c>
      <c r="L316" s="172" t="s">
        <v>6</v>
      </c>
      <c r="M316" s="174"/>
      <c r="N316" s="20">
        <v>3.3</v>
      </c>
    </row>
    <row r="317" spans="2:14" ht="16.5" thickBot="1" x14ac:dyDescent="0.3">
      <c r="B317" s="5"/>
      <c r="C317" s="9"/>
      <c r="D317" s="9"/>
      <c r="E317" s="9"/>
      <c r="F317" s="9"/>
      <c r="G317" s="9"/>
      <c r="H317" s="79"/>
      <c r="I317" s="21"/>
      <c r="J317" s="21"/>
      <c r="K317" s="21"/>
      <c r="L317" s="21"/>
      <c r="M317" s="21"/>
      <c r="N317" s="6"/>
    </row>
    <row r="318" spans="2:14" ht="15.75" x14ac:dyDescent="0.25">
      <c r="B318" s="7" t="s">
        <v>7</v>
      </c>
      <c r="C318" s="1">
        <v>1</v>
      </c>
      <c r="D318" s="1">
        <v>2</v>
      </c>
      <c r="E318" s="1">
        <v>3</v>
      </c>
      <c r="F318" s="1">
        <v>4</v>
      </c>
      <c r="G318" s="1">
        <v>5</v>
      </c>
      <c r="H318" s="77">
        <v>6</v>
      </c>
      <c r="I318" s="160" t="s">
        <v>267</v>
      </c>
      <c r="J318" s="161"/>
      <c r="K318" s="161"/>
      <c r="L318" s="161"/>
      <c r="M318" s="161"/>
      <c r="N318" s="162"/>
    </row>
    <row r="319" spans="2:14" ht="15.75" x14ac:dyDescent="0.25">
      <c r="B319" s="87" t="s">
        <v>10</v>
      </c>
      <c r="C319" s="19"/>
      <c r="D319" s="19"/>
      <c r="E319" s="19"/>
      <c r="F319" s="19"/>
      <c r="G319" s="19"/>
      <c r="H319" s="95"/>
      <c r="I319" s="163"/>
      <c r="J319" s="164"/>
      <c r="K319" s="164"/>
      <c r="L319" s="164"/>
      <c r="M319" s="164"/>
      <c r="N319" s="165"/>
    </row>
    <row r="320" spans="2:14" ht="16.5" thickBot="1" x14ac:dyDescent="0.3">
      <c r="B320" s="94" t="s">
        <v>12</v>
      </c>
      <c r="C320" s="93"/>
      <c r="D320" s="93"/>
      <c r="E320" s="93"/>
      <c r="F320" s="93"/>
      <c r="G320" s="93"/>
      <c r="H320" s="97"/>
      <c r="I320" s="166"/>
      <c r="J320" s="167"/>
      <c r="K320" s="167"/>
      <c r="L320" s="167"/>
      <c r="M320" s="167"/>
      <c r="N320" s="168"/>
    </row>
    <row r="321" spans="2:14" ht="15.75" thickBot="1" x14ac:dyDescent="0.3"/>
    <row r="322" spans="2:14" ht="15.75" x14ac:dyDescent="0.25">
      <c r="B322" s="2" t="s">
        <v>0</v>
      </c>
      <c r="C322" s="175" t="s">
        <v>202</v>
      </c>
      <c r="D322" s="176"/>
      <c r="E322" s="177" t="s">
        <v>1</v>
      </c>
      <c r="F322" s="178"/>
      <c r="G322" s="11">
        <v>140</v>
      </c>
      <c r="H322" s="179" t="s">
        <v>2</v>
      </c>
      <c r="I322" s="180"/>
      <c r="J322" s="181"/>
      <c r="K322" s="13">
        <v>140</v>
      </c>
      <c r="L322" s="3"/>
      <c r="M322" s="80" t="s">
        <v>11</v>
      </c>
      <c r="N322" s="98">
        <v>45577</v>
      </c>
    </row>
    <row r="323" spans="2:14" ht="15.75" x14ac:dyDescent="0.25">
      <c r="B323" s="4" t="s">
        <v>3</v>
      </c>
      <c r="C323" s="10">
        <v>27020</v>
      </c>
      <c r="D323" s="169" t="s">
        <v>57</v>
      </c>
      <c r="E323" s="170"/>
      <c r="F323" s="171"/>
      <c r="G323" s="18"/>
      <c r="H323" s="172" t="s">
        <v>4</v>
      </c>
      <c r="I323" s="173"/>
      <c r="J323" s="174"/>
      <c r="K323" s="113"/>
      <c r="L323" s="15"/>
      <c r="M323" s="15"/>
      <c r="N323" s="16"/>
    </row>
    <row r="324" spans="2:14" ht="15.75" x14ac:dyDescent="0.25">
      <c r="B324" s="4" t="s">
        <v>5</v>
      </c>
      <c r="C324" s="19"/>
      <c r="D324" s="169" t="s">
        <v>8</v>
      </c>
      <c r="E324" s="170"/>
      <c r="F324" s="171"/>
      <c r="G324" s="17">
        <v>0.28000000000000003</v>
      </c>
      <c r="H324" s="172" t="s">
        <v>254</v>
      </c>
      <c r="I324" s="173"/>
      <c r="J324" s="174"/>
      <c r="K324" s="12">
        <v>0.9</v>
      </c>
      <c r="L324" s="172" t="s">
        <v>6</v>
      </c>
      <c r="M324" s="174"/>
      <c r="N324" s="20">
        <v>3.3</v>
      </c>
    </row>
    <row r="325" spans="2:14" ht="16.5" thickBot="1" x14ac:dyDescent="0.3">
      <c r="B325" s="5"/>
      <c r="C325" s="9"/>
      <c r="D325" s="9"/>
      <c r="E325" s="9"/>
      <c r="F325" s="9"/>
      <c r="G325" s="9"/>
      <c r="H325" s="79"/>
      <c r="I325" s="21"/>
      <c r="J325" s="21"/>
      <c r="K325" s="21"/>
      <c r="L325" s="21"/>
      <c r="M325" s="21"/>
      <c r="N325" s="6"/>
    </row>
    <row r="326" spans="2:14" ht="15.75" x14ac:dyDescent="0.25">
      <c r="B326" s="7" t="s">
        <v>7</v>
      </c>
      <c r="C326" s="1">
        <v>1</v>
      </c>
      <c r="D326" s="1">
        <v>2</v>
      </c>
      <c r="E326" s="1">
        <v>3</v>
      </c>
      <c r="F326" s="1">
        <v>4</v>
      </c>
      <c r="G326" s="1">
        <v>5</v>
      </c>
      <c r="H326" s="77">
        <v>6</v>
      </c>
      <c r="I326" s="160" t="s">
        <v>268</v>
      </c>
      <c r="J326" s="161"/>
      <c r="K326" s="161"/>
      <c r="L326" s="161"/>
      <c r="M326" s="161"/>
      <c r="N326" s="162"/>
    </row>
    <row r="327" spans="2:14" ht="15.75" x14ac:dyDescent="0.25">
      <c r="B327" s="87" t="s">
        <v>10</v>
      </c>
      <c r="C327" s="19"/>
      <c r="D327" s="19"/>
      <c r="E327" s="19"/>
      <c r="F327" s="19"/>
      <c r="G327" s="19"/>
      <c r="H327" s="95"/>
      <c r="I327" s="163"/>
      <c r="J327" s="164"/>
      <c r="K327" s="164"/>
      <c r="L327" s="164"/>
      <c r="M327" s="164"/>
      <c r="N327" s="165"/>
    </row>
    <row r="328" spans="2:14" ht="16.5" thickBot="1" x14ac:dyDescent="0.3">
      <c r="B328" s="94" t="s">
        <v>12</v>
      </c>
      <c r="C328" s="93"/>
      <c r="D328" s="93"/>
      <c r="E328" s="93"/>
      <c r="F328" s="93"/>
      <c r="G328" s="93"/>
      <c r="H328" s="97"/>
      <c r="I328" s="166"/>
      <c r="J328" s="167"/>
      <c r="K328" s="167"/>
      <c r="L328" s="167"/>
      <c r="M328" s="167"/>
      <c r="N328" s="168"/>
    </row>
    <row r="329" spans="2:14" ht="15.75" thickBot="1" x14ac:dyDescent="0.3"/>
    <row r="330" spans="2:14" ht="15.75" x14ac:dyDescent="0.25">
      <c r="B330" s="2" t="s">
        <v>0</v>
      </c>
      <c r="C330" s="175" t="s">
        <v>202</v>
      </c>
      <c r="D330" s="176"/>
      <c r="E330" s="177" t="s">
        <v>1</v>
      </c>
      <c r="F330" s="178"/>
      <c r="G330" s="11">
        <v>140</v>
      </c>
      <c r="H330" s="179" t="s">
        <v>2</v>
      </c>
      <c r="I330" s="180"/>
      <c r="J330" s="181"/>
      <c r="K330" s="13">
        <v>140</v>
      </c>
      <c r="L330" s="3"/>
      <c r="M330" s="80" t="s">
        <v>11</v>
      </c>
      <c r="N330" s="98">
        <v>45584</v>
      </c>
    </row>
    <row r="331" spans="2:14" ht="15.75" x14ac:dyDescent="0.25">
      <c r="B331" s="4" t="s">
        <v>3</v>
      </c>
      <c r="C331" s="10">
        <v>27197</v>
      </c>
      <c r="D331" s="169" t="s">
        <v>57</v>
      </c>
      <c r="E331" s="170"/>
      <c r="F331" s="171"/>
      <c r="G331" s="18">
        <v>2800</v>
      </c>
      <c r="H331" s="172" t="s">
        <v>4</v>
      </c>
      <c r="I331" s="173"/>
      <c r="J331" s="174"/>
      <c r="K331" s="113">
        <v>44</v>
      </c>
      <c r="L331" s="15"/>
      <c r="M331" s="15"/>
      <c r="N331" s="16"/>
    </row>
    <row r="332" spans="2:14" ht="15.75" x14ac:dyDescent="0.25">
      <c r="B332" s="4" t="s">
        <v>5</v>
      </c>
      <c r="C332" s="19"/>
      <c r="D332" s="169" t="s">
        <v>8</v>
      </c>
      <c r="E332" s="170"/>
      <c r="F332" s="171"/>
      <c r="G332" s="17">
        <v>0.28000000000000003</v>
      </c>
      <c r="H332" s="172" t="s">
        <v>254</v>
      </c>
      <c r="I332" s="173"/>
      <c r="J332" s="174"/>
      <c r="K332" s="12">
        <v>0.9</v>
      </c>
      <c r="L332" s="172" t="s">
        <v>6</v>
      </c>
      <c r="M332" s="174"/>
      <c r="N332" s="20">
        <v>3.3</v>
      </c>
    </row>
    <row r="333" spans="2:14" ht="16.5" thickBot="1" x14ac:dyDescent="0.3">
      <c r="B333" s="5"/>
      <c r="C333" s="9"/>
      <c r="D333" s="9"/>
      <c r="E333" s="9"/>
      <c r="F333" s="9"/>
      <c r="G333" s="9"/>
      <c r="H333" s="79"/>
      <c r="I333" s="21"/>
      <c r="J333" s="21"/>
      <c r="K333" s="21"/>
      <c r="L333" s="21"/>
      <c r="M333" s="21"/>
      <c r="N333" s="6"/>
    </row>
    <row r="334" spans="2:14" ht="15.75" customHeight="1" x14ac:dyDescent="0.25">
      <c r="B334" s="7" t="s">
        <v>7</v>
      </c>
      <c r="C334" s="1">
        <v>1</v>
      </c>
      <c r="D334" s="1">
        <v>2</v>
      </c>
      <c r="E334" s="1">
        <v>3</v>
      </c>
      <c r="F334" s="1">
        <v>4</v>
      </c>
      <c r="G334" s="1">
        <v>5</v>
      </c>
      <c r="H334" s="77">
        <v>6</v>
      </c>
      <c r="I334" s="160" t="s">
        <v>269</v>
      </c>
      <c r="J334" s="161"/>
      <c r="K334" s="161"/>
      <c r="L334" s="161"/>
      <c r="M334" s="161"/>
      <c r="N334" s="162"/>
    </row>
    <row r="335" spans="2:14" ht="47.25" x14ac:dyDescent="0.25">
      <c r="B335" s="143" t="s">
        <v>10</v>
      </c>
      <c r="C335" s="19">
        <v>43</v>
      </c>
      <c r="D335" s="19">
        <v>44</v>
      </c>
      <c r="E335" s="19">
        <v>41</v>
      </c>
      <c r="F335" s="19">
        <v>41</v>
      </c>
      <c r="G335" s="19">
        <v>42</v>
      </c>
      <c r="H335" s="95">
        <v>43</v>
      </c>
      <c r="I335" s="163"/>
      <c r="J335" s="164"/>
      <c r="K335" s="164"/>
      <c r="L335" s="164"/>
      <c r="M335" s="164"/>
      <c r="N335" s="165"/>
    </row>
    <row r="336" spans="2:14" ht="16.5" thickBot="1" x14ac:dyDescent="0.3">
      <c r="B336" s="94" t="s">
        <v>12</v>
      </c>
      <c r="C336" s="93">
        <v>109</v>
      </c>
      <c r="D336" s="93">
        <v>120</v>
      </c>
      <c r="E336" s="93">
        <v>118</v>
      </c>
      <c r="F336" s="93">
        <v>108</v>
      </c>
      <c r="G336" s="93">
        <v>102</v>
      </c>
      <c r="H336" s="97">
        <v>105</v>
      </c>
      <c r="I336" s="166"/>
      <c r="J336" s="167"/>
      <c r="K336" s="167"/>
      <c r="L336" s="167"/>
      <c r="M336" s="167"/>
      <c r="N336" s="168"/>
    </row>
    <row r="337" spans="2:14" ht="15.75" thickBot="1" x14ac:dyDescent="0.3"/>
    <row r="338" spans="2:14" ht="15.75" x14ac:dyDescent="0.25">
      <c r="B338" s="2" t="s">
        <v>0</v>
      </c>
      <c r="C338" s="175" t="s">
        <v>202</v>
      </c>
      <c r="D338" s="176"/>
      <c r="E338" s="177" t="s">
        <v>1</v>
      </c>
      <c r="F338" s="178"/>
      <c r="G338" s="11">
        <v>140</v>
      </c>
      <c r="H338" s="179" t="s">
        <v>2</v>
      </c>
      <c r="I338" s="180"/>
      <c r="J338" s="181"/>
      <c r="K338" s="13">
        <v>140</v>
      </c>
      <c r="L338" s="3"/>
      <c r="M338" s="80" t="s">
        <v>11</v>
      </c>
      <c r="N338" s="98">
        <v>45593</v>
      </c>
    </row>
    <row r="339" spans="2:14" ht="15.75" x14ac:dyDescent="0.25">
      <c r="B339" s="4" t="s">
        <v>3</v>
      </c>
      <c r="C339" s="10">
        <v>27398</v>
      </c>
      <c r="D339" s="169" t="s">
        <v>57</v>
      </c>
      <c r="E339" s="170"/>
      <c r="F339" s="171"/>
      <c r="G339" s="18">
        <v>2800</v>
      </c>
      <c r="H339" s="172" t="s">
        <v>4</v>
      </c>
      <c r="I339" s="173"/>
      <c r="J339" s="174"/>
      <c r="K339" s="113">
        <v>44</v>
      </c>
      <c r="L339" s="15"/>
      <c r="M339" s="15"/>
      <c r="N339" s="16"/>
    </row>
    <row r="340" spans="2:14" ht="15.75" x14ac:dyDescent="0.25">
      <c r="B340" s="4" t="s">
        <v>5</v>
      </c>
      <c r="C340" s="19"/>
      <c r="D340" s="169" t="s">
        <v>8</v>
      </c>
      <c r="E340" s="170"/>
      <c r="F340" s="171"/>
      <c r="G340" s="17">
        <v>0.28000000000000003</v>
      </c>
      <c r="H340" s="172" t="s">
        <v>254</v>
      </c>
      <c r="I340" s="173"/>
      <c r="J340" s="174"/>
      <c r="K340" s="12">
        <v>0.9</v>
      </c>
      <c r="L340" s="172" t="s">
        <v>6</v>
      </c>
      <c r="M340" s="174"/>
      <c r="N340" s="20">
        <v>3.3</v>
      </c>
    </row>
    <row r="341" spans="2:14" ht="16.5" thickBot="1" x14ac:dyDescent="0.3">
      <c r="B341" s="5"/>
      <c r="C341" s="9"/>
      <c r="D341" s="9"/>
      <c r="E341" s="9"/>
      <c r="F341" s="9"/>
      <c r="G341" s="9"/>
      <c r="H341" s="79"/>
      <c r="I341" s="21"/>
      <c r="J341" s="21"/>
      <c r="K341" s="21"/>
      <c r="L341" s="21"/>
      <c r="M341" s="21"/>
      <c r="N341" s="6"/>
    </row>
    <row r="342" spans="2:14" ht="15.75" x14ac:dyDescent="0.25">
      <c r="B342" s="7" t="s">
        <v>7</v>
      </c>
      <c r="C342" s="1">
        <v>1</v>
      </c>
      <c r="D342" s="1">
        <v>2</v>
      </c>
      <c r="E342" s="1">
        <v>3</v>
      </c>
      <c r="F342" s="1">
        <v>4</v>
      </c>
      <c r="G342" s="1">
        <v>5</v>
      </c>
      <c r="H342" s="77">
        <v>6</v>
      </c>
      <c r="I342" s="160" t="s">
        <v>270</v>
      </c>
      <c r="J342" s="161"/>
      <c r="K342" s="161"/>
      <c r="L342" s="161"/>
      <c r="M342" s="161"/>
      <c r="N342" s="162"/>
    </row>
    <row r="343" spans="2:14" ht="47.25" x14ac:dyDescent="0.25">
      <c r="B343" s="143" t="s">
        <v>10</v>
      </c>
      <c r="C343" s="19">
        <v>43</v>
      </c>
      <c r="D343" s="19">
        <v>41</v>
      </c>
      <c r="E343" s="19">
        <v>42</v>
      </c>
      <c r="F343" s="19">
        <v>44</v>
      </c>
      <c r="G343" s="19">
        <v>43</v>
      </c>
      <c r="H343" s="95">
        <v>40</v>
      </c>
      <c r="I343" s="163"/>
      <c r="J343" s="164"/>
      <c r="K343" s="164"/>
      <c r="L343" s="164"/>
      <c r="M343" s="164"/>
      <c r="N343" s="165"/>
    </row>
    <row r="344" spans="2:14" ht="16.5" thickBot="1" x14ac:dyDescent="0.3">
      <c r="B344" s="94" t="s">
        <v>12</v>
      </c>
      <c r="C344" s="93">
        <v>73</v>
      </c>
      <c r="D344" s="93">
        <v>72</v>
      </c>
      <c r="E344" s="93">
        <v>52</v>
      </c>
      <c r="F344" s="93">
        <v>27</v>
      </c>
      <c r="G344" s="93">
        <v>86</v>
      </c>
      <c r="H344" s="97">
        <v>38</v>
      </c>
      <c r="I344" s="166"/>
      <c r="J344" s="167"/>
      <c r="K344" s="167"/>
      <c r="L344" s="167"/>
      <c r="M344" s="167"/>
      <c r="N344" s="168"/>
    </row>
    <row r="345" spans="2:14" ht="15.75" thickBot="1" x14ac:dyDescent="0.3"/>
    <row r="346" spans="2:14" ht="15.75" x14ac:dyDescent="0.25">
      <c r="B346" s="2" t="s">
        <v>0</v>
      </c>
      <c r="C346" s="175" t="s">
        <v>202</v>
      </c>
      <c r="D346" s="176"/>
      <c r="E346" s="177" t="s">
        <v>1</v>
      </c>
      <c r="F346" s="178"/>
      <c r="G346" s="11">
        <v>140</v>
      </c>
      <c r="H346" s="179" t="s">
        <v>2</v>
      </c>
      <c r="I346" s="180"/>
      <c r="J346" s="181"/>
      <c r="K346" s="13">
        <v>140</v>
      </c>
      <c r="L346" s="3"/>
      <c r="M346" s="80" t="s">
        <v>11</v>
      </c>
      <c r="N346" s="98">
        <v>45598</v>
      </c>
    </row>
    <row r="347" spans="2:14" ht="15.75" x14ac:dyDescent="0.25">
      <c r="B347" s="4" t="s">
        <v>3</v>
      </c>
      <c r="C347" s="10">
        <v>27519</v>
      </c>
      <c r="D347" s="169" t="s">
        <v>57</v>
      </c>
      <c r="E347" s="170"/>
      <c r="F347" s="171"/>
      <c r="G347" s="18">
        <v>2800</v>
      </c>
      <c r="H347" s="172" t="s">
        <v>4</v>
      </c>
      <c r="I347" s="173"/>
      <c r="J347" s="174"/>
      <c r="K347" s="113">
        <v>44</v>
      </c>
      <c r="L347" s="15"/>
      <c r="M347" s="15"/>
      <c r="N347" s="16"/>
    </row>
    <row r="348" spans="2:14" ht="15.75" x14ac:dyDescent="0.25">
      <c r="B348" s="4" t="s">
        <v>5</v>
      </c>
      <c r="C348" s="19">
        <v>44</v>
      </c>
      <c r="D348" s="169" t="s">
        <v>8</v>
      </c>
      <c r="E348" s="170"/>
      <c r="F348" s="171"/>
      <c r="G348" s="17">
        <v>0.28000000000000003</v>
      </c>
      <c r="H348" s="172" t="s">
        <v>254</v>
      </c>
      <c r="I348" s="173"/>
      <c r="J348" s="174"/>
      <c r="K348" s="12">
        <v>0.9</v>
      </c>
      <c r="L348" s="172" t="s">
        <v>6</v>
      </c>
      <c r="M348" s="174"/>
      <c r="N348" s="20">
        <v>3.3</v>
      </c>
    </row>
    <row r="349" spans="2:14" ht="16.5" thickBot="1" x14ac:dyDescent="0.3">
      <c r="B349" s="5"/>
      <c r="C349" s="9"/>
      <c r="D349" s="9"/>
      <c r="E349" s="9"/>
      <c r="F349" s="9"/>
      <c r="G349" s="9"/>
      <c r="H349" s="79"/>
      <c r="I349" s="21"/>
      <c r="J349" s="21"/>
      <c r="K349" s="21"/>
      <c r="L349" s="21"/>
      <c r="M349" s="21"/>
      <c r="N349" s="6"/>
    </row>
    <row r="350" spans="2:14" ht="15.75" x14ac:dyDescent="0.25">
      <c r="B350" s="7" t="s">
        <v>7</v>
      </c>
      <c r="C350" s="1">
        <v>1</v>
      </c>
      <c r="D350" s="1">
        <v>2</v>
      </c>
      <c r="E350" s="1">
        <v>3</v>
      </c>
      <c r="F350" s="1">
        <v>4</v>
      </c>
      <c r="G350" s="1">
        <v>5</v>
      </c>
      <c r="H350" s="77">
        <v>6</v>
      </c>
      <c r="I350" s="160" t="s">
        <v>271</v>
      </c>
      <c r="J350" s="161"/>
      <c r="K350" s="161"/>
      <c r="L350" s="161"/>
      <c r="M350" s="161"/>
      <c r="N350" s="162"/>
    </row>
    <row r="351" spans="2:14" ht="47.25" x14ac:dyDescent="0.25">
      <c r="B351" s="143" t="s">
        <v>10</v>
      </c>
      <c r="C351" s="19">
        <v>43</v>
      </c>
      <c r="D351" s="19">
        <v>41</v>
      </c>
      <c r="E351" s="19">
        <v>42</v>
      </c>
      <c r="F351" s="19">
        <v>44</v>
      </c>
      <c r="G351" s="19">
        <v>43</v>
      </c>
      <c r="H351" s="95">
        <v>40</v>
      </c>
      <c r="I351" s="163"/>
      <c r="J351" s="164"/>
      <c r="K351" s="164"/>
      <c r="L351" s="164"/>
      <c r="M351" s="164"/>
      <c r="N351" s="165"/>
    </row>
    <row r="352" spans="2:14" ht="16.5" thickBot="1" x14ac:dyDescent="0.3">
      <c r="B352" s="94" t="s">
        <v>12</v>
      </c>
      <c r="C352" s="93">
        <v>32</v>
      </c>
      <c r="D352" s="93">
        <v>62</v>
      </c>
      <c r="E352" s="93">
        <v>39</v>
      </c>
      <c r="F352" s="93">
        <v>13</v>
      </c>
      <c r="G352" s="93">
        <v>9</v>
      </c>
      <c r="H352" s="97">
        <v>18</v>
      </c>
      <c r="I352" s="166"/>
      <c r="J352" s="167"/>
      <c r="K352" s="167"/>
      <c r="L352" s="167"/>
      <c r="M352" s="167"/>
      <c r="N352" s="168"/>
    </row>
    <row r="353" spans="2:14" ht="15.75" thickBot="1" x14ac:dyDescent="0.3"/>
    <row r="354" spans="2:14" ht="15.75" x14ac:dyDescent="0.25">
      <c r="B354" s="2" t="s">
        <v>0</v>
      </c>
      <c r="C354" s="175" t="s">
        <v>202</v>
      </c>
      <c r="D354" s="176"/>
      <c r="E354" s="177" t="s">
        <v>1</v>
      </c>
      <c r="F354" s="178"/>
      <c r="G354" s="11">
        <v>140</v>
      </c>
      <c r="H354" s="179" t="s">
        <v>2</v>
      </c>
      <c r="I354" s="180"/>
      <c r="J354" s="181"/>
      <c r="K354" s="13">
        <v>140</v>
      </c>
      <c r="L354" s="3"/>
      <c r="M354" s="80" t="s">
        <v>11</v>
      </c>
      <c r="N354" s="98">
        <v>45605</v>
      </c>
    </row>
    <row r="355" spans="2:14" ht="15.75" x14ac:dyDescent="0.25">
      <c r="B355" s="4" t="s">
        <v>3</v>
      </c>
      <c r="C355" s="10">
        <v>27674</v>
      </c>
      <c r="D355" s="169" t="s">
        <v>57</v>
      </c>
      <c r="E355" s="170"/>
      <c r="F355" s="171"/>
      <c r="G355" s="18">
        <v>2800</v>
      </c>
      <c r="H355" s="172" t="s">
        <v>4</v>
      </c>
      <c r="I355" s="173"/>
      <c r="J355" s="174"/>
      <c r="K355" s="113">
        <v>50</v>
      </c>
      <c r="L355" s="15"/>
      <c r="M355" s="15"/>
      <c r="N355" s="16"/>
    </row>
    <row r="356" spans="2:14" ht="15.75" x14ac:dyDescent="0.25">
      <c r="B356" s="4" t="s">
        <v>5</v>
      </c>
      <c r="C356" s="19">
        <v>44</v>
      </c>
      <c r="D356" s="169" t="s">
        <v>8</v>
      </c>
      <c r="E356" s="170"/>
      <c r="F356" s="171"/>
      <c r="G356" s="17">
        <v>0.28000000000000003</v>
      </c>
      <c r="H356" s="172" t="s">
        <v>254</v>
      </c>
      <c r="I356" s="173"/>
      <c r="J356" s="174"/>
      <c r="K356" s="12">
        <v>0.9</v>
      </c>
      <c r="L356" s="172" t="s">
        <v>6</v>
      </c>
      <c r="M356" s="174"/>
      <c r="N356" s="20">
        <v>3.3</v>
      </c>
    </row>
    <row r="357" spans="2:14" ht="16.5" thickBot="1" x14ac:dyDescent="0.3">
      <c r="B357" s="5"/>
      <c r="C357" s="9"/>
      <c r="D357" s="9"/>
      <c r="E357" s="9"/>
      <c r="F357" s="9"/>
      <c r="G357" s="9"/>
      <c r="H357" s="79"/>
      <c r="I357" s="21"/>
      <c r="J357" s="21"/>
      <c r="K357" s="21"/>
      <c r="L357" s="21"/>
      <c r="M357" s="21"/>
      <c r="N357" s="6"/>
    </row>
    <row r="358" spans="2:14" ht="15.75" x14ac:dyDescent="0.25">
      <c r="B358" s="7" t="s">
        <v>7</v>
      </c>
      <c r="C358" s="1">
        <v>1</v>
      </c>
      <c r="D358" s="1">
        <v>2</v>
      </c>
      <c r="E358" s="1">
        <v>3</v>
      </c>
      <c r="F358" s="1">
        <v>4</v>
      </c>
      <c r="G358" s="1">
        <v>5</v>
      </c>
      <c r="H358" s="77">
        <v>6</v>
      </c>
      <c r="I358" s="160" t="s">
        <v>284</v>
      </c>
      <c r="J358" s="161"/>
      <c r="K358" s="161"/>
      <c r="L358" s="161"/>
      <c r="M358" s="161"/>
      <c r="N358" s="162"/>
    </row>
    <row r="359" spans="2:14" ht="47.25" x14ac:dyDescent="0.25">
      <c r="B359" s="143" t="s">
        <v>10</v>
      </c>
      <c r="C359" s="19">
        <v>42</v>
      </c>
      <c r="D359" s="19">
        <v>43</v>
      </c>
      <c r="E359" s="19">
        <v>42</v>
      </c>
      <c r="F359" s="19">
        <v>43</v>
      </c>
      <c r="G359" s="19">
        <v>44</v>
      </c>
      <c r="H359" s="95">
        <v>44</v>
      </c>
      <c r="I359" s="163"/>
      <c r="J359" s="164"/>
      <c r="K359" s="164"/>
      <c r="L359" s="164"/>
      <c r="M359" s="164"/>
      <c r="N359" s="165"/>
    </row>
    <row r="360" spans="2:14" ht="16.5" thickBot="1" x14ac:dyDescent="0.3">
      <c r="B360" s="94" t="s">
        <v>12</v>
      </c>
      <c r="C360" s="93">
        <v>36</v>
      </c>
      <c r="D360" s="93">
        <v>74</v>
      </c>
      <c r="E360" s="93">
        <v>79</v>
      </c>
      <c r="F360" s="93">
        <v>47</v>
      </c>
      <c r="G360" s="93">
        <v>66</v>
      </c>
      <c r="H360" s="97">
        <v>66</v>
      </c>
      <c r="I360" s="166"/>
      <c r="J360" s="167"/>
      <c r="K360" s="167"/>
      <c r="L360" s="167"/>
      <c r="M360" s="167"/>
      <c r="N360" s="168"/>
    </row>
    <row r="361" spans="2:14" ht="15.75" thickBot="1" x14ac:dyDescent="0.3"/>
    <row r="362" spans="2:14" ht="15.75" x14ac:dyDescent="0.25">
      <c r="B362" s="2" t="s">
        <v>0</v>
      </c>
      <c r="C362" s="175" t="s">
        <v>202</v>
      </c>
      <c r="D362" s="176"/>
      <c r="E362" s="177" t="s">
        <v>1</v>
      </c>
      <c r="F362" s="178"/>
      <c r="G362" s="11">
        <v>140</v>
      </c>
      <c r="H362" s="179" t="s">
        <v>2</v>
      </c>
      <c r="I362" s="180"/>
      <c r="J362" s="181"/>
      <c r="K362" s="13">
        <v>140</v>
      </c>
      <c r="L362" s="3"/>
      <c r="M362" s="80" t="s">
        <v>11</v>
      </c>
      <c r="N362" s="98">
        <v>45612</v>
      </c>
    </row>
    <row r="363" spans="2:14" ht="15.75" x14ac:dyDescent="0.25">
      <c r="B363" s="4" t="s">
        <v>3</v>
      </c>
      <c r="C363" s="10">
        <v>27774</v>
      </c>
      <c r="D363" s="169" t="s">
        <v>57</v>
      </c>
      <c r="E363" s="170"/>
      <c r="F363" s="171"/>
      <c r="G363" s="18">
        <v>2800</v>
      </c>
      <c r="H363" s="172" t="s">
        <v>4</v>
      </c>
      <c r="I363" s="173"/>
      <c r="J363" s="174"/>
      <c r="K363" s="113">
        <v>60</v>
      </c>
      <c r="L363" s="15"/>
      <c r="M363" s="15"/>
      <c r="N363" s="16"/>
    </row>
    <row r="364" spans="2:14" ht="15.75" x14ac:dyDescent="0.25">
      <c r="B364" s="4" t="s">
        <v>5</v>
      </c>
      <c r="C364" s="19">
        <v>69</v>
      </c>
      <c r="D364" s="169" t="s">
        <v>8</v>
      </c>
      <c r="E364" s="170"/>
      <c r="F364" s="171"/>
      <c r="G364" s="17">
        <v>0.28000000000000003</v>
      </c>
      <c r="H364" s="172" t="s">
        <v>254</v>
      </c>
      <c r="I364" s="173"/>
      <c r="J364" s="174"/>
      <c r="K364" s="12">
        <v>0.9</v>
      </c>
      <c r="L364" s="172" t="s">
        <v>6</v>
      </c>
      <c r="M364" s="174"/>
      <c r="N364" s="20">
        <v>3.3</v>
      </c>
    </row>
    <row r="365" spans="2:14" ht="16.5" thickBot="1" x14ac:dyDescent="0.3">
      <c r="B365" s="5"/>
      <c r="C365" s="9"/>
      <c r="D365" s="9"/>
      <c r="E365" s="9"/>
      <c r="F365" s="9"/>
      <c r="G365" s="9"/>
      <c r="H365" s="79"/>
      <c r="I365" s="21"/>
      <c r="J365" s="21"/>
      <c r="K365" s="21"/>
      <c r="L365" s="21"/>
      <c r="M365" s="21"/>
      <c r="N365" s="6"/>
    </row>
    <row r="366" spans="2:14" ht="15.75" x14ac:dyDescent="0.25">
      <c r="B366" s="7" t="s">
        <v>7</v>
      </c>
      <c r="C366" s="1">
        <v>1</v>
      </c>
      <c r="D366" s="1">
        <v>2</v>
      </c>
      <c r="E366" s="1">
        <v>3</v>
      </c>
      <c r="F366" s="1">
        <v>4</v>
      </c>
      <c r="G366" s="1">
        <v>5</v>
      </c>
      <c r="H366" s="77">
        <v>6</v>
      </c>
      <c r="I366" s="160" t="s">
        <v>283</v>
      </c>
      <c r="J366" s="161"/>
      <c r="K366" s="161"/>
      <c r="L366" s="161"/>
      <c r="M366" s="161"/>
      <c r="N366" s="162"/>
    </row>
    <row r="367" spans="2:14" ht="47.25" x14ac:dyDescent="0.25">
      <c r="B367" s="143" t="s">
        <v>10</v>
      </c>
      <c r="C367" s="19">
        <v>43</v>
      </c>
      <c r="D367" s="19">
        <v>43</v>
      </c>
      <c r="E367" s="19">
        <v>41</v>
      </c>
      <c r="F367" s="19">
        <v>42</v>
      </c>
      <c r="G367" s="19">
        <v>43</v>
      </c>
      <c r="H367" s="95">
        <v>44</v>
      </c>
      <c r="I367" s="163"/>
      <c r="J367" s="164"/>
      <c r="K367" s="164"/>
      <c r="L367" s="164"/>
      <c r="M367" s="164"/>
      <c r="N367" s="165"/>
    </row>
    <row r="368" spans="2:14" ht="16.5" thickBot="1" x14ac:dyDescent="0.3">
      <c r="B368" s="94" t="s">
        <v>12</v>
      </c>
      <c r="C368" s="93">
        <v>59</v>
      </c>
      <c r="D368" s="93">
        <v>72</v>
      </c>
      <c r="E368" s="93">
        <v>69</v>
      </c>
      <c r="F368" s="93">
        <v>61</v>
      </c>
      <c r="G368" s="93">
        <v>73</v>
      </c>
      <c r="H368" s="97">
        <v>49</v>
      </c>
      <c r="I368" s="166"/>
      <c r="J368" s="167"/>
      <c r="K368" s="167"/>
      <c r="L368" s="167"/>
      <c r="M368" s="167"/>
      <c r="N368" s="168"/>
    </row>
    <row r="369" spans="2:14" ht="15.75" thickBot="1" x14ac:dyDescent="0.3"/>
    <row r="370" spans="2:14" ht="15.75" x14ac:dyDescent="0.25">
      <c r="B370" s="2" t="s">
        <v>0</v>
      </c>
      <c r="C370" s="175" t="s">
        <v>202</v>
      </c>
      <c r="D370" s="176"/>
      <c r="E370" s="177" t="s">
        <v>1</v>
      </c>
      <c r="F370" s="178"/>
      <c r="G370" s="11">
        <v>140</v>
      </c>
      <c r="H370" s="179" t="s">
        <v>2</v>
      </c>
      <c r="I370" s="180"/>
      <c r="J370" s="181"/>
      <c r="K370" s="13">
        <v>140</v>
      </c>
      <c r="L370" s="3"/>
      <c r="M370" s="80" t="s">
        <v>11</v>
      </c>
      <c r="N370" s="98">
        <v>45619</v>
      </c>
    </row>
    <row r="371" spans="2:14" ht="15.75" x14ac:dyDescent="0.25">
      <c r="B371" s="4" t="s">
        <v>3</v>
      </c>
      <c r="C371" s="10">
        <v>27943</v>
      </c>
      <c r="D371" s="169" t="s">
        <v>57</v>
      </c>
      <c r="E371" s="170"/>
      <c r="F371" s="171"/>
      <c r="G371" s="18">
        <v>2800</v>
      </c>
      <c r="H371" s="172" t="s">
        <v>4</v>
      </c>
      <c r="I371" s="173"/>
      <c r="J371" s="174"/>
      <c r="K371" s="113">
        <v>60</v>
      </c>
      <c r="L371" s="15"/>
      <c r="M371" s="15"/>
      <c r="N371" s="16"/>
    </row>
    <row r="372" spans="2:14" ht="15.75" x14ac:dyDescent="0.25">
      <c r="B372" s="4" t="s">
        <v>5</v>
      </c>
      <c r="C372" s="19">
        <v>70</v>
      </c>
      <c r="D372" s="169" t="s">
        <v>8</v>
      </c>
      <c r="E372" s="170"/>
      <c r="F372" s="171"/>
      <c r="G372" s="17">
        <v>0.28000000000000003</v>
      </c>
      <c r="H372" s="172" t="s">
        <v>254</v>
      </c>
      <c r="I372" s="173"/>
      <c r="J372" s="174"/>
      <c r="K372" s="12">
        <v>0.9</v>
      </c>
      <c r="L372" s="172" t="s">
        <v>6</v>
      </c>
      <c r="M372" s="174"/>
      <c r="N372" s="20">
        <v>3.3</v>
      </c>
    </row>
    <row r="373" spans="2:14" ht="16.5" thickBot="1" x14ac:dyDescent="0.3">
      <c r="B373" s="5"/>
      <c r="C373" s="9"/>
      <c r="D373" s="9"/>
      <c r="E373" s="9"/>
      <c r="F373" s="9"/>
      <c r="G373" s="9"/>
      <c r="H373" s="79"/>
      <c r="I373" s="21"/>
      <c r="J373" s="21"/>
      <c r="K373" s="21"/>
      <c r="L373" s="21"/>
      <c r="M373" s="21"/>
      <c r="N373" s="6"/>
    </row>
    <row r="374" spans="2:14" ht="15.75" x14ac:dyDescent="0.25">
      <c r="B374" s="7" t="s">
        <v>7</v>
      </c>
      <c r="C374" s="1">
        <v>1</v>
      </c>
      <c r="D374" s="1">
        <v>2</v>
      </c>
      <c r="E374" s="1">
        <v>3</v>
      </c>
      <c r="F374" s="1">
        <v>4</v>
      </c>
      <c r="G374" s="1">
        <v>5</v>
      </c>
      <c r="H374" s="77">
        <v>6</v>
      </c>
      <c r="I374" s="160" t="s">
        <v>282</v>
      </c>
      <c r="J374" s="161"/>
      <c r="K374" s="161"/>
      <c r="L374" s="161"/>
      <c r="M374" s="161"/>
      <c r="N374" s="162"/>
    </row>
    <row r="375" spans="2:14" ht="47.25" x14ac:dyDescent="0.25">
      <c r="B375" s="143" t="s">
        <v>10</v>
      </c>
      <c r="C375" s="19">
        <v>44</v>
      </c>
      <c r="D375" s="19">
        <v>41</v>
      </c>
      <c r="E375" s="19">
        <v>43</v>
      </c>
      <c r="F375" s="19">
        <v>42</v>
      </c>
      <c r="G375" s="19">
        <v>43</v>
      </c>
      <c r="H375" s="95">
        <v>41</v>
      </c>
      <c r="I375" s="163"/>
      <c r="J375" s="164"/>
      <c r="K375" s="164"/>
      <c r="L375" s="164"/>
      <c r="M375" s="164"/>
      <c r="N375" s="165"/>
    </row>
    <row r="376" spans="2:14" ht="16.5" thickBot="1" x14ac:dyDescent="0.3">
      <c r="B376" s="94" t="s">
        <v>12</v>
      </c>
      <c r="C376" s="93">
        <v>61</v>
      </c>
      <c r="D376" s="93">
        <v>70</v>
      </c>
      <c r="E376" s="93">
        <v>91</v>
      </c>
      <c r="F376" s="93">
        <v>78</v>
      </c>
      <c r="G376" s="93">
        <v>71</v>
      </c>
      <c r="H376" s="97">
        <v>68</v>
      </c>
      <c r="I376" s="166"/>
      <c r="J376" s="167"/>
      <c r="K376" s="167"/>
      <c r="L376" s="167"/>
      <c r="M376" s="167"/>
      <c r="N376" s="168"/>
    </row>
    <row r="377" spans="2:14" ht="15.75" thickBot="1" x14ac:dyDescent="0.3"/>
    <row r="378" spans="2:14" ht="15.75" x14ac:dyDescent="0.25">
      <c r="B378" s="2" t="s">
        <v>0</v>
      </c>
      <c r="C378" s="175" t="s">
        <v>202</v>
      </c>
      <c r="D378" s="176"/>
      <c r="E378" s="177" t="s">
        <v>1</v>
      </c>
      <c r="F378" s="178"/>
      <c r="G378" s="11">
        <v>140</v>
      </c>
      <c r="H378" s="179" t="s">
        <v>2</v>
      </c>
      <c r="I378" s="180"/>
      <c r="J378" s="181"/>
      <c r="K378" s="13">
        <v>140</v>
      </c>
      <c r="L378" s="3"/>
      <c r="M378" s="80" t="s">
        <v>11</v>
      </c>
      <c r="N378" s="98">
        <v>45626</v>
      </c>
    </row>
    <row r="379" spans="2:14" ht="15.75" x14ac:dyDescent="0.25">
      <c r="B379" s="4" t="s">
        <v>3</v>
      </c>
      <c r="C379" s="10">
        <v>28114</v>
      </c>
      <c r="D379" s="169" t="s">
        <v>57</v>
      </c>
      <c r="E379" s="170"/>
      <c r="F379" s="171"/>
      <c r="G379" s="18">
        <v>2800</v>
      </c>
      <c r="H379" s="172" t="s">
        <v>4</v>
      </c>
      <c r="I379" s="173"/>
      <c r="J379" s="174"/>
      <c r="K379" s="113">
        <v>60</v>
      </c>
      <c r="L379" s="15"/>
      <c r="M379" s="15"/>
      <c r="N379" s="16"/>
    </row>
    <row r="380" spans="2:14" ht="15.75" x14ac:dyDescent="0.25">
      <c r="B380" s="4" t="s">
        <v>5</v>
      </c>
      <c r="C380" s="19">
        <v>70</v>
      </c>
      <c r="D380" s="169" t="s">
        <v>8</v>
      </c>
      <c r="E380" s="170"/>
      <c r="F380" s="171"/>
      <c r="G380" s="17">
        <v>0.28000000000000003</v>
      </c>
      <c r="H380" s="172" t="s">
        <v>254</v>
      </c>
      <c r="I380" s="173"/>
      <c r="J380" s="174"/>
      <c r="K380" s="12">
        <v>0.9</v>
      </c>
      <c r="L380" s="172" t="s">
        <v>6</v>
      </c>
      <c r="M380" s="174"/>
      <c r="N380" s="20">
        <v>3.3</v>
      </c>
    </row>
    <row r="381" spans="2:14" ht="16.5" thickBot="1" x14ac:dyDescent="0.3">
      <c r="B381" s="5"/>
      <c r="C381" s="9"/>
      <c r="D381" s="9"/>
      <c r="E381" s="9"/>
      <c r="F381" s="9"/>
      <c r="G381" s="9"/>
      <c r="H381" s="79"/>
      <c r="I381" s="21"/>
      <c r="J381" s="21"/>
      <c r="K381" s="21"/>
      <c r="L381" s="21"/>
      <c r="M381" s="21"/>
      <c r="N381" s="6"/>
    </row>
    <row r="382" spans="2:14" ht="15.75" x14ac:dyDescent="0.25">
      <c r="B382" s="7" t="s">
        <v>7</v>
      </c>
      <c r="C382" s="1">
        <v>1</v>
      </c>
      <c r="D382" s="1">
        <v>2</v>
      </c>
      <c r="E382" s="1">
        <v>3</v>
      </c>
      <c r="F382" s="1">
        <v>4</v>
      </c>
      <c r="G382" s="1">
        <v>5</v>
      </c>
      <c r="H382" s="77">
        <v>6</v>
      </c>
      <c r="I382" s="160" t="s">
        <v>272</v>
      </c>
      <c r="J382" s="161"/>
      <c r="K382" s="161"/>
      <c r="L382" s="161"/>
      <c r="M382" s="161"/>
      <c r="N382" s="162"/>
    </row>
    <row r="383" spans="2:14" ht="47.25" x14ac:dyDescent="0.25">
      <c r="B383" s="143" t="s">
        <v>10</v>
      </c>
      <c r="C383" s="19">
        <v>43</v>
      </c>
      <c r="D383" s="19">
        <v>42</v>
      </c>
      <c r="E383" s="19">
        <v>42</v>
      </c>
      <c r="F383" s="19">
        <v>44</v>
      </c>
      <c r="G383" s="19">
        <v>41</v>
      </c>
      <c r="H383" s="95">
        <v>43</v>
      </c>
      <c r="I383" s="163"/>
      <c r="J383" s="164"/>
      <c r="K383" s="164"/>
      <c r="L383" s="164"/>
      <c r="M383" s="164"/>
      <c r="N383" s="165"/>
    </row>
    <row r="384" spans="2:14" ht="16.5" thickBot="1" x14ac:dyDescent="0.3">
      <c r="B384" s="94" t="s">
        <v>12</v>
      </c>
      <c r="C384" s="93">
        <v>79</v>
      </c>
      <c r="D384" s="93">
        <v>43</v>
      </c>
      <c r="E384" s="93">
        <v>54</v>
      </c>
      <c r="F384" s="93">
        <v>81</v>
      </c>
      <c r="G384" s="93">
        <v>70</v>
      </c>
      <c r="H384" s="97">
        <v>64</v>
      </c>
      <c r="I384" s="166"/>
      <c r="J384" s="167"/>
      <c r="K384" s="167"/>
      <c r="L384" s="167"/>
      <c r="M384" s="167"/>
      <c r="N384" s="168"/>
    </row>
    <row r="385" spans="2:14" ht="15.75" thickBot="1" x14ac:dyDescent="0.3"/>
    <row r="386" spans="2:14" ht="15.75" x14ac:dyDescent="0.25">
      <c r="B386" s="2" t="s">
        <v>0</v>
      </c>
      <c r="C386" s="175" t="s">
        <v>202</v>
      </c>
      <c r="D386" s="176"/>
      <c r="E386" s="177" t="s">
        <v>1</v>
      </c>
      <c r="F386" s="178"/>
      <c r="G386" s="11">
        <v>140</v>
      </c>
      <c r="H386" s="179" t="s">
        <v>2</v>
      </c>
      <c r="I386" s="180"/>
      <c r="J386" s="181"/>
      <c r="K386" s="13">
        <v>140</v>
      </c>
      <c r="L386" s="3"/>
      <c r="M386" s="80" t="s">
        <v>11</v>
      </c>
      <c r="N386" s="98">
        <v>45633</v>
      </c>
    </row>
    <row r="387" spans="2:14" ht="15.75" x14ac:dyDescent="0.25">
      <c r="B387" s="4" t="s">
        <v>3</v>
      </c>
      <c r="C387" s="10">
        <v>28284</v>
      </c>
      <c r="D387" s="169" t="s">
        <v>57</v>
      </c>
      <c r="E387" s="170"/>
      <c r="F387" s="171"/>
      <c r="G387" s="18">
        <v>2800</v>
      </c>
      <c r="H387" s="172" t="s">
        <v>4</v>
      </c>
      <c r="I387" s="173"/>
      <c r="J387" s="174"/>
      <c r="K387" s="113">
        <v>60</v>
      </c>
      <c r="L387" s="15"/>
      <c r="M387" s="15"/>
      <c r="N387" s="16"/>
    </row>
    <row r="388" spans="2:14" ht="15.75" x14ac:dyDescent="0.25">
      <c r="B388" s="4" t="s">
        <v>5</v>
      </c>
      <c r="C388" s="19">
        <v>70</v>
      </c>
      <c r="D388" s="169" t="s">
        <v>8</v>
      </c>
      <c r="E388" s="170"/>
      <c r="F388" s="171"/>
      <c r="G388" s="17">
        <v>0.28000000000000003</v>
      </c>
      <c r="H388" s="172" t="s">
        <v>254</v>
      </c>
      <c r="I388" s="173"/>
      <c r="J388" s="174"/>
      <c r="K388" s="12">
        <v>0.9</v>
      </c>
      <c r="L388" s="172" t="s">
        <v>6</v>
      </c>
      <c r="M388" s="174"/>
      <c r="N388" s="20">
        <v>3.3</v>
      </c>
    </row>
    <row r="389" spans="2:14" ht="16.5" thickBot="1" x14ac:dyDescent="0.3">
      <c r="B389" s="5"/>
      <c r="C389" s="9"/>
      <c r="D389" s="9"/>
      <c r="E389" s="9"/>
      <c r="F389" s="9"/>
      <c r="G389" s="9"/>
      <c r="H389" s="79"/>
      <c r="I389" s="21"/>
      <c r="J389" s="21"/>
      <c r="K389" s="21"/>
      <c r="L389" s="21"/>
      <c r="M389" s="21"/>
      <c r="N389" s="6"/>
    </row>
    <row r="390" spans="2:14" ht="15.75" x14ac:dyDescent="0.25">
      <c r="B390" s="7" t="s">
        <v>7</v>
      </c>
      <c r="C390" s="1">
        <v>1</v>
      </c>
      <c r="D390" s="1">
        <v>2</v>
      </c>
      <c r="E390" s="1">
        <v>3</v>
      </c>
      <c r="F390" s="1">
        <v>4</v>
      </c>
      <c r="G390" s="1">
        <v>5</v>
      </c>
      <c r="H390" s="77">
        <v>6</v>
      </c>
      <c r="I390" s="160" t="s">
        <v>273</v>
      </c>
      <c r="J390" s="161"/>
      <c r="K390" s="161"/>
      <c r="L390" s="161"/>
      <c r="M390" s="161"/>
      <c r="N390" s="162"/>
    </row>
    <row r="391" spans="2:14" ht="47.25" x14ac:dyDescent="0.25">
      <c r="B391" s="143" t="s">
        <v>10</v>
      </c>
      <c r="C391" s="19">
        <v>44</v>
      </c>
      <c r="D391" s="19">
        <v>43</v>
      </c>
      <c r="E391" s="19">
        <v>44</v>
      </c>
      <c r="F391" s="19">
        <v>41</v>
      </c>
      <c r="G391" s="19">
        <v>42</v>
      </c>
      <c r="H391" s="95">
        <v>40</v>
      </c>
      <c r="I391" s="163"/>
      <c r="J391" s="164"/>
      <c r="K391" s="164"/>
      <c r="L391" s="164"/>
      <c r="M391" s="164"/>
      <c r="N391" s="165"/>
    </row>
    <row r="392" spans="2:14" ht="16.5" thickBot="1" x14ac:dyDescent="0.3">
      <c r="B392" s="94" t="s">
        <v>12</v>
      </c>
      <c r="C392" s="93">
        <v>70</v>
      </c>
      <c r="D392" s="93">
        <v>74</v>
      </c>
      <c r="E392" s="93">
        <v>69</v>
      </c>
      <c r="F392" s="93">
        <v>82</v>
      </c>
      <c r="G392" s="93">
        <v>77</v>
      </c>
      <c r="H392" s="97">
        <v>63</v>
      </c>
      <c r="I392" s="166"/>
      <c r="J392" s="167"/>
      <c r="K392" s="167"/>
      <c r="L392" s="167"/>
      <c r="M392" s="167"/>
      <c r="N392" s="168"/>
    </row>
    <row r="393" spans="2:14" ht="15.75" thickBot="1" x14ac:dyDescent="0.3"/>
    <row r="394" spans="2:14" ht="15.75" x14ac:dyDescent="0.25">
      <c r="B394" s="2" t="s">
        <v>0</v>
      </c>
      <c r="C394" s="175" t="s">
        <v>202</v>
      </c>
      <c r="D394" s="176"/>
      <c r="E394" s="177" t="s">
        <v>1</v>
      </c>
      <c r="F394" s="178"/>
      <c r="G394" s="11">
        <v>140</v>
      </c>
      <c r="H394" s="179" t="s">
        <v>2</v>
      </c>
      <c r="I394" s="180"/>
      <c r="J394" s="181"/>
      <c r="K394" s="13">
        <v>140</v>
      </c>
      <c r="L394" s="3"/>
      <c r="M394" s="80" t="s">
        <v>11</v>
      </c>
      <c r="N394" s="98">
        <v>45640</v>
      </c>
    </row>
    <row r="395" spans="2:14" ht="15.75" x14ac:dyDescent="0.25">
      <c r="B395" s="4" t="s">
        <v>3</v>
      </c>
      <c r="C395" s="10">
        <v>28445</v>
      </c>
      <c r="D395" s="169" t="s">
        <v>57</v>
      </c>
      <c r="E395" s="170"/>
      <c r="F395" s="171"/>
      <c r="G395" s="18">
        <v>2800</v>
      </c>
      <c r="H395" s="172" t="s">
        <v>4</v>
      </c>
      <c r="I395" s="173"/>
      <c r="J395" s="174"/>
      <c r="K395" s="113">
        <v>60</v>
      </c>
      <c r="L395" s="15"/>
      <c r="M395" s="15"/>
      <c r="N395" s="16"/>
    </row>
    <row r="396" spans="2:14" ht="15.75" x14ac:dyDescent="0.25">
      <c r="B396" s="4" t="s">
        <v>5</v>
      </c>
      <c r="C396" s="19">
        <v>70</v>
      </c>
      <c r="D396" s="169" t="s">
        <v>8</v>
      </c>
      <c r="E396" s="170"/>
      <c r="F396" s="171"/>
      <c r="G396" s="17">
        <v>0.28000000000000003</v>
      </c>
      <c r="H396" s="172" t="s">
        <v>254</v>
      </c>
      <c r="I396" s="173"/>
      <c r="J396" s="174"/>
      <c r="K396" s="12">
        <v>0.9</v>
      </c>
      <c r="L396" s="172" t="s">
        <v>6</v>
      </c>
      <c r="M396" s="174"/>
      <c r="N396" s="20">
        <v>3.3</v>
      </c>
    </row>
    <row r="397" spans="2:14" ht="16.5" thickBot="1" x14ac:dyDescent="0.3">
      <c r="B397" s="5"/>
      <c r="C397" s="9"/>
      <c r="D397" s="9"/>
      <c r="E397" s="9"/>
      <c r="F397" s="9"/>
      <c r="G397" s="9"/>
      <c r="H397" s="79"/>
      <c r="I397" s="21"/>
      <c r="J397" s="21"/>
      <c r="K397" s="21"/>
      <c r="L397" s="21"/>
      <c r="M397" s="21"/>
      <c r="N397" s="6"/>
    </row>
    <row r="398" spans="2:14" ht="15.75" x14ac:dyDescent="0.25">
      <c r="B398" s="7" t="s">
        <v>7</v>
      </c>
      <c r="C398" s="1">
        <v>1</v>
      </c>
      <c r="D398" s="1">
        <v>2</v>
      </c>
      <c r="E398" s="1">
        <v>3</v>
      </c>
      <c r="F398" s="1">
        <v>4</v>
      </c>
      <c r="G398" s="1">
        <v>5</v>
      </c>
      <c r="H398" s="77">
        <v>6</v>
      </c>
      <c r="I398" s="160" t="s">
        <v>281</v>
      </c>
      <c r="J398" s="161"/>
      <c r="K398" s="161"/>
      <c r="L398" s="161"/>
      <c r="M398" s="161"/>
      <c r="N398" s="162"/>
    </row>
    <row r="399" spans="2:14" ht="47.25" x14ac:dyDescent="0.25">
      <c r="B399" s="143" t="s">
        <v>10</v>
      </c>
      <c r="C399" s="19">
        <v>44</v>
      </c>
      <c r="D399" s="19">
        <v>41</v>
      </c>
      <c r="E399" s="19">
        <v>41</v>
      </c>
      <c r="F399" s="19">
        <v>44</v>
      </c>
      <c r="G399" s="19">
        <v>43</v>
      </c>
      <c r="H399" s="95">
        <v>42</v>
      </c>
      <c r="I399" s="163"/>
      <c r="J399" s="164"/>
      <c r="K399" s="164"/>
      <c r="L399" s="164"/>
      <c r="M399" s="164"/>
      <c r="N399" s="165"/>
    </row>
    <row r="400" spans="2:14" ht="16.5" thickBot="1" x14ac:dyDescent="0.3">
      <c r="B400" s="94" t="s">
        <v>12</v>
      </c>
      <c r="C400" s="93">
        <v>89</v>
      </c>
      <c r="D400" s="93">
        <v>79</v>
      </c>
      <c r="E400" s="93">
        <v>82</v>
      </c>
      <c r="F400" s="93">
        <v>71</v>
      </c>
      <c r="G400" s="93">
        <v>69</v>
      </c>
      <c r="H400" s="97">
        <v>75</v>
      </c>
      <c r="I400" s="166"/>
      <c r="J400" s="167"/>
      <c r="K400" s="167"/>
      <c r="L400" s="167"/>
      <c r="M400" s="167"/>
      <c r="N400" s="168"/>
    </row>
    <row r="401" spans="2:14" ht="15.75" thickBot="1" x14ac:dyDescent="0.3"/>
    <row r="402" spans="2:14" ht="15.75" x14ac:dyDescent="0.25">
      <c r="B402" s="2" t="s">
        <v>0</v>
      </c>
      <c r="C402" s="144" t="s">
        <v>202</v>
      </c>
      <c r="D402" s="145"/>
      <c r="E402" s="146" t="s">
        <v>1</v>
      </c>
      <c r="F402" s="147"/>
      <c r="G402" s="11">
        <v>140</v>
      </c>
      <c r="H402" s="148" t="s">
        <v>2</v>
      </c>
      <c r="I402" s="149"/>
      <c r="J402" s="150"/>
      <c r="K402" s="13">
        <v>140</v>
      </c>
      <c r="L402" s="3"/>
      <c r="M402" s="80" t="s">
        <v>11</v>
      </c>
      <c r="N402" s="98">
        <v>45647</v>
      </c>
    </row>
    <row r="403" spans="2:14" ht="15.75" x14ac:dyDescent="0.25">
      <c r="B403" s="4" t="s">
        <v>3</v>
      </c>
      <c r="C403" s="10">
        <v>28608</v>
      </c>
      <c r="D403" s="151" t="s">
        <v>57</v>
      </c>
      <c r="E403" s="152"/>
      <c r="F403" s="153"/>
      <c r="G403" s="18"/>
      <c r="H403" s="154" t="s">
        <v>4</v>
      </c>
      <c r="I403" s="155"/>
      <c r="J403" s="156"/>
      <c r="K403" s="113"/>
      <c r="L403" s="15"/>
      <c r="M403" s="15"/>
      <c r="N403" s="16"/>
    </row>
    <row r="404" spans="2:14" ht="15.75" x14ac:dyDescent="0.25">
      <c r="B404" s="4" t="s">
        <v>5</v>
      </c>
      <c r="C404" s="19"/>
      <c r="D404" s="151" t="s">
        <v>8</v>
      </c>
      <c r="E404" s="152"/>
      <c r="F404" s="153"/>
      <c r="G404" s="17">
        <v>0.28000000000000003</v>
      </c>
      <c r="H404" s="154" t="s">
        <v>254</v>
      </c>
      <c r="I404" s="155"/>
      <c r="J404" s="156"/>
      <c r="K404" s="12">
        <v>0.9</v>
      </c>
      <c r="L404" s="154" t="s">
        <v>6</v>
      </c>
      <c r="M404" s="156"/>
      <c r="N404" s="20">
        <v>3.3</v>
      </c>
    </row>
    <row r="405" spans="2:14" ht="16.5" thickBot="1" x14ac:dyDescent="0.3">
      <c r="B405" s="5"/>
      <c r="C405" s="9"/>
      <c r="D405" s="9"/>
      <c r="E405" s="9"/>
      <c r="F405" s="9"/>
      <c r="G405" s="9"/>
      <c r="H405" s="79"/>
      <c r="I405" s="21"/>
      <c r="J405" s="21"/>
      <c r="K405" s="21"/>
      <c r="L405" s="21"/>
      <c r="M405" s="21"/>
      <c r="N405" s="6"/>
    </row>
    <row r="406" spans="2:14" ht="15.75" customHeight="1" x14ac:dyDescent="0.25">
      <c r="B406" s="7" t="s">
        <v>7</v>
      </c>
      <c r="C406" s="1">
        <v>1</v>
      </c>
      <c r="D406" s="1">
        <v>2</v>
      </c>
      <c r="E406" s="1">
        <v>3</v>
      </c>
      <c r="F406" s="1">
        <v>4</v>
      </c>
      <c r="G406" s="1">
        <v>5</v>
      </c>
      <c r="H406" s="77">
        <v>6</v>
      </c>
      <c r="I406" s="160" t="s">
        <v>275</v>
      </c>
      <c r="J406" s="161"/>
      <c r="K406" s="161"/>
      <c r="L406" s="161"/>
      <c r="M406" s="161"/>
      <c r="N406" s="162"/>
    </row>
    <row r="407" spans="2:14" ht="47.25" x14ac:dyDescent="0.25">
      <c r="B407" s="143" t="s">
        <v>10</v>
      </c>
      <c r="C407" s="19"/>
      <c r="D407" s="19"/>
      <c r="E407" s="19"/>
      <c r="F407" s="19"/>
      <c r="G407" s="19"/>
      <c r="H407" s="95"/>
      <c r="I407" s="163"/>
      <c r="J407" s="164"/>
      <c r="K407" s="164"/>
      <c r="L407" s="164"/>
      <c r="M407" s="164"/>
      <c r="N407" s="165"/>
    </row>
    <row r="408" spans="2:14" ht="16.5" thickBot="1" x14ac:dyDescent="0.3">
      <c r="B408" s="94" t="s">
        <v>12</v>
      </c>
      <c r="C408" s="93"/>
      <c r="D408" s="93"/>
      <c r="E408" s="93"/>
      <c r="F408" s="93"/>
      <c r="G408" s="93"/>
      <c r="H408" s="97"/>
      <c r="I408" s="166"/>
      <c r="J408" s="167"/>
      <c r="K408" s="167"/>
      <c r="L408" s="167"/>
      <c r="M408" s="167"/>
      <c r="N408" s="168"/>
    </row>
    <row r="409" spans="2:14" ht="15.75" thickBot="1" x14ac:dyDescent="0.3"/>
    <row r="410" spans="2:14" ht="15.75" x14ac:dyDescent="0.25">
      <c r="B410" s="2" t="s">
        <v>0</v>
      </c>
      <c r="C410" s="144" t="s">
        <v>202</v>
      </c>
      <c r="D410" s="145"/>
      <c r="E410" s="146" t="s">
        <v>1</v>
      </c>
      <c r="F410" s="147"/>
      <c r="G410" s="11">
        <v>140</v>
      </c>
      <c r="H410" s="148" t="s">
        <v>2</v>
      </c>
      <c r="I410" s="149"/>
      <c r="J410" s="150"/>
      <c r="K410" s="13">
        <v>140</v>
      </c>
      <c r="L410" s="3"/>
      <c r="M410" s="80" t="s">
        <v>11</v>
      </c>
      <c r="N410" s="98">
        <v>45654</v>
      </c>
    </row>
    <row r="411" spans="2:14" ht="15.75" x14ac:dyDescent="0.25">
      <c r="B411" s="4" t="s">
        <v>3</v>
      </c>
      <c r="C411" s="10">
        <v>28650</v>
      </c>
      <c r="D411" s="151" t="s">
        <v>57</v>
      </c>
      <c r="E411" s="152"/>
      <c r="F411" s="153"/>
      <c r="G411" s="18"/>
      <c r="H411" s="154" t="s">
        <v>4</v>
      </c>
      <c r="I411" s="155"/>
      <c r="J411" s="156"/>
      <c r="K411" s="113"/>
      <c r="L411" s="15"/>
      <c r="M411" s="15"/>
      <c r="N411" s="16"/>
    </row>
    <row r="412" spans="2:14" ht="15.75" x14ac:dyDescent="0.25">
      <c r="B412" s="4" t="s">
        <v>5</v>
      </c>
      <c r="C412" s="19"/>
      <c r="D412" s="151" t="s">
        <v>8</v>
      </c>
      <c r="E412" s="152"/>
      <c r="F412" s="153"/>
      <c r="G412" s="17">
        <v>0.28000000000000003</v>
      </c>
      <c r="H412" s="154" t="s">
        <v>254</v>
      </c>
      <c r="I412" s="155"/>
      <c r="J412" s="156"/>
      <c r="K412" s="12">
        <v>0.9</v>
      </c>
      <c r="L412" s="154" t="s">
        <v>6</v>
      </c>
      <c r="M412" s="156"/>
      <c r="N412" s="20">
        <v>3.3</v>
      </c>
    </row>
    <row r="413" spans="2:14" ht="16.5" thickBot="1" x14ac:dyDescent="0.3">
      <c r="B413" s="5"/>
      <c r="C413" s="9"/>
      <c r="D413" s="9"/>
      <c r="E413" s="9"/>
      <c r="F413" s="9"/>
      <c r="G413" s="9"/>
      <c r="H413" s="79"/>
      <c r="I413" s="21"/>
      <c r="J413" s="21"/>
      <c r="K413" s="21"/>
      <c r="L413" s="21"/>
      <c r="M413" s="21"/>
      <c r="N413" s="6"/>
    </row>
    <row r="414" spans="2:14" ht="15.75" x14ac:dyDescent="0.25">
      <c r="B414" s="7" t="s">
        <v>7</v>
      </c>
      <c r="C414" s="1">
        <v>1</v>
      </c>
      <c r="D414" s="1">
        <v>2</v>
      </c>
      <c r="E414" s="1">
        <v>3</v>
      </c>
      <c r="F414" s="1">
        <v>4</v>
      </c>
      <c r="G414" s="1">
        <v>5</v>
      </c>
      <c r="H414" s="77">
        <v>6</v>
      </c>
      <c r="I414" s="160" t="s">
        <v>274</v>
      </c>
      <c r="J414" s="161"/>
      <c r="K414" s="161"/>
      <c r="L414" s="161"/>
      <c r="M414" s="161"/>
      <c r="N414" s="162"/>
    </row>
    <row r="415" spans="2:14" ht="47.25" x14ac:dyDescent="0.25">
      <c r="B415" s="143" t="s">
        <v>10</v>
      </c>
      <c r="C415" s="19"/>
      <c r="D415" s="19"/>
      <c r="E415" s="19"/>
      <c r="F415" s="19"/>
      <c r="G415" s="19"/>
      <c r="H415" s="95"/>
      <c r="I415" s="163"/>
      <c r="J415" s="164"/>
      <c r="K415" s="164"/>
      <c r="L415" s="164"/>
      <c r="M415" s="164"/>
      <c r="N415" s="165"/>
    </row>
    <row r="416" spans="2:14" ht="16.5" thickBot="1" x14ac:dyDescent="0.3">
      <c r="B416" s="94" t="s">
        <v>12</v>
      </c>
      <c r="C416" s="93"/>
      <c r="D416" s="93"/>
      <c r="E416" s="93"/>
      <c r="F416" s="93"/>
      <c r="G416" s="93"/>
      <c r="H416" s="97"/>
      <c r="I416" s="166"/>
      <c r="J416" s="167"/>
      <c r="K416" s="167"/>
      <c r="L416" s="167"/>
      <c r="M416" s="167"/>
      <c r="N416" s="168"/>
    </row>
    <row r="417" spans="2:14" ht="15.75" thickBot="1" x14ac:dyDescent="0.3"/>
    <row r="418" spans="2:14" ht="15.75" x14ac:dyDescent="0.25">
      <c r="B418" s="2" t="s">
        <v>0</v>
      </c>
      <c r="C418" s="144" t="s">
        <v>202</v>
      </c>
      <c r="D418" s="145"/>
      <c r="E418" s="146" t="s">
        <v>1</v>
      </c>
      <c r="F418" s="147"/>
      <c r="G418" s="11">
        <v>140</v>
      </c>
      <c r="H418" s="148" t="s">
        <v>2</v>
      </c>
      <c r="I418" s="149"/>
      <c r="J418" s="150"/>
      <c r="K418" s="13">
        <v>140</v>
      </c>
      <c r="L418" s="3"/>
      <c r="M418" s="80" t="s">
        <v>11</v>
      </c>
      <c r="N418" s="98">
        <v>45661</v>
      </c>
    </row>
    <row r="419" spans="2:14" ht="15.75" x14ac:dyDescent="0.25">
      <c r="B419" s="4" t="s">
        <v>3</v>
      </c>
      <c r="C419" s="10">
        <v>28757</v>
      </c>
      <c r="D419" s="151" t="s">
        <v>57</v>
      </c>
      <c r="E419" s="152"/>
      <c r="F419" s="153"/>
      <c r="G419" s="18"/>
      <c r="H419" s="154" t="s">
        <v>4</v>
      </c>
      <c r="I419" s="155"/>
      <c r="J419" s="156"/>
      <c r="K419" s="113"/>
      <c r="L419" s="15"/>
      <c r="M419" s="15"/>
      <c r="N419" s="16"/>
    </row>
    <row r="420" spans="2:14" ht="15.75" x14ac:dyDescent="0.25">
      <c r="B420" s="4" t="s">
        <v>5</v>
      </c>
      <c r="C420" s="19"/>
      <c r="D420" s="151" t="s">
        <v>8</v>
      </c>
      <c r="E420" s="152"/>
      <c r="F420" s="153"/>
      <c r="G420" s="17">
        <v>0.28000000000000003</v>
      </c>
      <c r="H420" s="154" t="s">
        <v>254</v>
      </c>
      <c r="I420" s="155"/>
      <c r="J420" s="156"/>
      <c r="K420" s="12">
        <v>0.9</v>
      </c>
      <c r="L420" s="154" t="s">
        <v>6</v>
      </c>
      <c r="M420" s="156"/>
      <c r="N420" s="20">
        <v>3.3</v>
      </c>
    </row>
    <row r="421" spans="2:14" ht="16.5" thickBot="1" x14ac:dyDescent="0.3">
      <c r="B421" s="5"/>
      <c r="C421" s="9"/>
      <c r="D421" s="9"/>
      <c r="E421" s="9"/>
      <c r="F421" s="9"/>
      <c r="G421" s="9"/>
      <c r="H421" s="79"/>
      <c r="I421" s="21"/>
      <c r="J421" s="21"/>
      <c r="K421" s="21"/>
      <c r="L421" s="21"/>
      <c r="M421" s="21"/>
      <c r="N421" s="6"/>
    </row>
    <row r="422" spans="2:14" ht="15.75" customHeight="1" x14ac:dyDescent="0.25">
      <c r="B422" s="7" t="s">
        <v>7</v>
      </c>
      <c r="C422" s="1">
        <v>1</v>
      </c>
      <c r="D422" s="1">
        <v>2</v>
      </c>
      <c r="E422" s="1">
        <v>3</v>
      </c>
      <c r="F422" s="1">
        <v>4</v>
      </c>
      <c r="G422" s="1">
        <v>5</v>
      </c>
      <c r="H422" s="77">
        <v>6</v>
      </c>
      <c r="I422" s="160" t="s">
        <v>276</v>
      </c>
      <c r="J422" s="161"/>
      <c r="K422" s="161"/>
      <c r="L422" s="161"/>
      <c r="M422" s="161"/>
      <c r="N422" s="162"/>
    </row>
    <row r="423" spans="2:14" ht="47.25" x14ac:dyDescent="0.25">
      <c r="B423" s="143" t="s">
        <v>10</v>
      </c>
      <c r="C423" s="19"/>
      <c r="D423" s="19"/>
      <c r="E423" s="19"/>
      <c r="F423" s="19"/>
      <c r="G423" s="19"/>
      <c r="H423" s="95"/>
      <c r="I423" s="163"/>
      <c r="J423" s="164"/>
      <c r="K423" s="164"/>
      <c r="L423" s="164"/>
      <c r="M423" s="164"/>
      <c r="N423" s="165"/>
    </row>
    <row r="424" spans="2:14" ht="16.5" thickBot="1" x14ac:dyDescent="0.3">
      <c r="B424" s="94" t="s">
        <v>12</v>
      </c>
      <c r="C424" s="93"/>
      <c r="D424" s="93"/>
      <c r="E424" s="93"/>
      <c r="F424" s="93"/>
      <c r="G424" s="93"/>
      <c r="H424" s="97"/>
      <c r="I424" s="166"/>
      <c r="J424" s="167"/>
      <c r="K424" s="167"/>
      <c r="L424" s="167"/>
      <c r="M424" s="167"/>
      <c r="N424" s="168"/>
    </row>
    <row r="425" spans="2:14" ht="15.75" thickBot="1" x14ac:dyDescent="0.3"/>
    <row r="426" spans="2:14" ht="15.75" x14ac:dyDescent="0.25">
      <c r="B426" s="2" t="s">
        <v>0</v>
      </c>
      <c r="C426" s="144" t="s">
        <v>202</v>
      </c>
      <c r="D426" s="145"/>
      <c r="E426" s="146" t="s">
        <v>1</v>
      </c>
      <c r="F426" s="147"/>
      <c r="G426" s="11">
        <v>140</v>
      </c>
      <c r="H426" s="148" t="s">
        <v>2</v>
      </c>
      <c r="I426" s="149"/>
      <c r="J426" s="150"/>
      <c r="K426" s="13">
        <v>140</v>
      </c>
      <c r="L426" s="3"/>
      <c r="M426" s="80" t="s">
        <v>11</v>
      </c>
      <c r="N426" s="98">
        <v>45668</v>
      </c>
    </row>
    <row r="427" spans="2:14" ht="15.75" x14ac:dyDescent="0.25">
      <c r="B427" s="4" t="s">
        <v>3</v>
      </c>
      <c r="C427" s="10">
        <v>28928</v>
      </c>
      <c r="D427" s="151" t="s">
        <v>57</v>
      </c>
      <c r="E427" s="152"/>
      <c r="F427" s="153"/>
      <c r="G427" s="18">
        <v>884</v>
      </c>
      <c r="H427" s="154" t="s">
        <v>4</v>
      </c>
      <c r="I427" s="155"/>
      <c r="J427" s="156"/>
      <c r="K427" s="113">
        <v>39</v>
      </c>
      <c r="L427" s="15"/>
      <c r="M427" s="15"/>
      <c r="N427" s="16"/>
    </row>
    <row r="428" spans="2:14" ht="15.75" x14ac:dyDescent="0.25">
      <c r="B428" s="4" t="s">
        <v>5</v>
      </c>
      <c r="C428" s="19">
        <v>34</v>
      </c>
      <c r="D428" s="151" t="s">
        <v>8</v>
      </c>
      <c r="E428" s="152"/>
      <c r="F428" s="153"/>
      <c r="G428" s="17">
        <v>0.28000000000000003</v>
      </c>
      <c r="H428" s="154" t="s">
        <v>254</v>
      </c>
      <c r="I428" s="155"/>
      <c r="J428" s="156"/>
      <c r="K428" s="12">
        <v>0.9</v>
      </c>
      <c r="L428" s="154" t="s">
        <v>6</v>
      </c>
      <c r="M428" s="156"/>
      <c r="N428" s="20">
        <v>3.3</v>
      </c>
    </row>
    <row r="429" spans="2:14" ht="16.5" thickBot="1" x14ac:dyDescent="0.3">
      <c r="B429" s="5"/>
      <c r="C429" s="9"/>
      <c r="D429" s="9"/>
      <c r="E429" s="9"/>
      <c r="F429" s="9"/>
      <c r="G429" s="9"/>
      <c r="H429" s="79"/>
      <c r="I429" s="21"/>
      <c r="J429" s="21"/>
      <c r="K429" s="21"/>
      <c r="L429" s="21"/>
      <c r="M429" s="21"/>
      <c r="N429" s="6"/>
    </row>
    <row r="430" spans="2:14" ht="15.75" x14ac:dyDescent="0.25">
      <c r="B430" s="7" t="s">
        <v>7</v>
      </c>
      <c r="C430" s="1">
        <v>1</v>
      </c>
      <c r="D430" s="1">
        <v>2</v>
      </c>
      <c r="E430" s="1">
        <v>3</v>
      </c>
      <c r="F430" s="1">
        <v>4</v>
      </c>
      <c r="G430" s="1">
        <v>5</v>
      </c>
      <c r="H430" s="77">
        <v>6</v>
      </c>
      <c r="I430" s="160" t="s">
        <v>277</v>
      </c>
      <c r="J430" s="161"/>
      <c r="K430" s="161"/>
      <c r="L430" s="161"/>
      <c r="M430" s="161"/>
      <c r="N430" s="162"/>
    </row>
    <row r="431" spans="2:14" ht="47.25" x14ac:dyDescent="0.25">
      <c r="B431" s="143" t="s">
        <v>10</v>
      </c>
      <c r="C431" s="19">
        <v>44</v>
      </c>
      <c r="D431" s="19">
        <v>43</v>
      </c>
      <c r="E431" s="19">
        <v>42</v>
      </c>
      <c r="F431" s="19">
        <v>44</v>
      </c>
      <c r="G431" s="19">
        <v>41</v>
      </c>
      <c r="H431" s="95">
        <v>43</v>
      </c>
      <c r="I431" s="163"/>
      <c r="J431" s="164"/>
      <c r="K431" s="164"/>
      <c r="L431" s="164"/>
      <c r="M431" s="164"/>
      <c r="N431" s="165"/>
    </row>
    <row r="432" spans="2:14" ht="16.5" thickBot="1" x14ac:dyDescent="0.3">
      <c r="B432" s="94" t="s">
        <v>12</v>
      </c>
      <c r="C432" s="93">
        <v>145</v>
      </c>
      <c r="D432" s="93">
        <v>134</v>
      </c>
      <c r="E432" s="93">
        <v>154</v>
      </c>
      <c r="F432" s="93">
        <v>88</v>
      </c>
      <c r="G432" s="93">
        <v>73</v>
      </c>
      <c r="H432" s="97">
        <v>124</v>
      </c>
      <c r="I432" s="166"/>
      <c r="J432" s="167"/>
      <c r="K432" s="167"/>
      <c r="L432" s="167"/>
      <c r="M432" s="167"/>
      <c r="N432" s="168"/>
    </row>
    <row r="433" spans="2:14" ht="15.75" thickBot="1" x14ac:dyDescent="0.3"/>
    <row r="434" spans="2:14" ht="15.75" x14ac:dyDescent="0.25">
      <c r="B434" s="2" t="s">
        <v>0</v>
      </c>
      <c r="C434" s="144" t="s">
        <v>202</v>
      </c>
      <c r="D434" s="145"/>
      <c r="E434" s="146" t="s">
        <v>1</v>
      </c>
      <c r="F434" s="147"/>
      <c r="G434" s="11">
        <v>140</v>
      </c>
      <c r="H434" s="148" t="s">
        <v>2</v>
      </c>
      <c r="I434" s="149"/>
      <c r="J434" s="150"/>
      <c r="K434" s="13">
        <v>140</v>
      </c>
      <c r="L434" s="3"/>
      <c r="M434" s="80" t="s">
        <v>11</v>
      </c>
      <c r="N434" s="98">
        <v>45675</v>
      </c>
    </row>
    <row r="435" spans="2:14" ht="15.75" x14ac:dyDescent="0.25">
      <c r="B435" s="4" t="s">
        <v>3</v>
      </c>
      <c r="C435" s="10">
        <v>28995</v>
      </c>
      <c r="D435" s="151" t="s">
        <v>57</v>
      </c>
      <c r="E435" s="152"/>
      <c r="F435" s="153"/>
      <c r="G435" s="18"/>
      <c r="H435" s="154" t="s">
        <v>4</v>
      </c>
      <c r="I435" s="155"/>
      <c r="J435" s="156"/>
      <c r="K435" s="113"/>
      <c r="L435" s="15"/>
      <c r="M435" s="15"/>
      <c r="N435" s="16"/>
    </row>
    <row r="436" spans="2:14" ht="15.75" x14ac:dyDescent="0.25">
      <c r="B436" s="4" t="s">
        <v>5</v>
      </c>
      <c r="C436" s="19"/>
      <c r="D436" s="151" t="s">
        <v>8</v>
      </c>
      <c r="E436" s="152"/>
      <c r="F436" s="153"/>
      <c r="G436" s="17">
        <v>0.28000000000000003</v>
      </c>
      <c r="H436" s="154" t="s">
        <v>254</v>
      </c>
      <c r="I436" s="155"/>
      <c r="J436" s="156"/>
      <c r="K436" s="12">
        <v>0.85</v>
      </c>
      <c r="L436" s="154" t="s">
        <v>6</v>
      </c>
      <c r="M436" s="156"/>
      <c r="N436" s="20">
        <v>3.3</v>
      </c>
    </row>
    <row r="437" spans="2:14" ht="16.5" thickBot="1" x14ac:dyDescent="0.3">
      <c r="B437" s="5"/>
      <c r="C437" s="9"/>
      <c r="D437" s="9"/>
      <c r="E437" s="9"/>
      <c r="F437" s="9"/>
      <c r="G437" s="9"/>
      <c r="H437" s="79"/>
      <c r="I437" s="21"/>
      <c r="J437" s="21"/>
      <c r="K437" s="21"/>
      <c r="L437" s="21"/>
      <c r="M437" s="21"/>
      <c r="N437" s="6"/>
    </row>
    <row r="438" spans="2:14" ht="15.75" customHeight="1" x14ac:dyDescent="0.25">
      <c r="B438" s="7" t="s">
        <v>7</v>
      </c>
      <c r="C438" s="1">
        <v>1</v>
      </c>
      <c r="D438" s="1">
        <v>2</v>
      </c>
      <c r="E438" s="1">
        <v>3</v>
      </c>
      <c r="F438" s="1">
        <v>4</v>
      </c>
      <c r="G438" s="1">
        <v>5</v>
      </c>
      <c r="H438" s="77">
        <v>6</v>
      </c>
      <c r="I438" s="160" t="s">
        <v>278</v>
      </c>
      <c r="J438" s="161"/>
      <c r="K438" s="161"/>
      <c r="L438" s="161"/>
      <c r="M438" s="161"/>
      <c r="N438" s="162"/>
    </row>
    <row r="439" spans="2:14" ht="47.25" x14ac:dyDescent="0.25">
      <c r="B439" s="143" t="s">
        <v>10</v>
      </c>
      <c r="C439" s="19"/>
      <c r="D439" s="19"/>
      <c r="E439" s="19"/>
      <c r="F439" s="19"/>
      <c r="G439" s="19"/>
      <c r="H439" s="95"/>
      <c r="I439" s="163"/>
      <c r="J439" s="164"/>
      <c r="K439" s="164"/>
      <c r="L439" s="164"/>
      <c r="M439" s="164"/>
      <c r="N439" s="165"/>
    </row>
    <row r="440" spans="2:14" ht="16.5" thickBot="1" x14ac:dyDescent="0.3">
      <c r="B440" s="94" t="s">
        <v>12</v>
      </c>
      <c r="C440" s="93"/>
      <c r="D440" s="93"/>
      <c r="E440" s="93"/>
      <c r="F440" s="93"/>
      <c r="G440" s="93"/>
      <c r="H440" s="97"/>
      <c r="I440" s="166"/>
      <c r="J440" s="167"/>
      <c r="K440" s="167"/>
      <c r="L440" s="167"/>
      <c r="M440" s="167"/>
      <c r="N440" s="168"/>
    </row>
    <row r="441" spans="2:14" ht="15.75" thickBot="1" x14ac:dyDescent="0.3"/>
    <row r="442" spans="2:14" ht="15.75" x14ac:dyDescent="0.25">
      <c r="B442" s="2" t="s">
        <v>0</v>
      </c>
      <c r="C442" s="144" t="s">
        <v>202</v>
      </c>
      <c r="D442" s="145"/>
      <c r="E442" s="146" t="s">
        <v>1</v>
      </c>
      <c r="F442" s="147"/>
      <c r="G442" s="11">
        <v>140</v>
      </c>
      <c r="H442" s="148" t="s">
        <v>2</v>
      </c>
      <c r="I442" s="149"/>
      <c r="J442" s="150"/>
      <c r="K442" s="13">
        <v>140</v>
      </c>
      <c r="L442" s="3"/>
      <c r="M442" s="80" t="s">
        <v>11</v>
      </c>
      <c r="N442" s="98">
        <v>45682</v>
      </c>
    </row>
    <row r="443" spans="2:14" ht="15.75" x14ac:dyDescent="0.25">
      <c r="B443" s="4" t="s">
        <v>3</v>
      </c>
      <c r="C443" s="10">
        <v>29261</v>
      </c>
      <c r="D443" s="151" t="s">
        <v>57</v>
      </c>
      <c r="E443" s="152"/>
      <c r="F443" s="153"/>
      <c r="G443" s="18">
        <v>2800</v>
      </c>
      <c r="H443" s="154" t="s">
        <v>4</v>
      </c>
      <c r="I443" s="155"/>
      <c r="J443" s="156"/>
      <c r="K443" s="113">
        <v>60</v>
      </c>
      <c r="L443" s="15"/>
      <c r="M443" s="15"/>
      <c r="N443" s="16"/>
    </row>
    <row r="444" spans="2:14" ht="15.75" x14ac:dyDescent="0.25">
      <c r="B444" s="4" t="s">
        <v>5</v>
      </c>
      <c r="C444" s="19">
        <v>71</v>
      </c>
      <c r="D444" s="151" t="s">
        <v>8</v>
      </c>
      <c r="E444" s="152"/>
      <c r="F444" s="153"/>
      <c r="G444" s="17">
        <v>0.28000000000000003</v>
      </c>
      <c r="H444" s="154" t="s">
        <v>254</v>
      </c>
      <c r="I444" s="155"/>
      <c r="J444" s="156"/>
      <c r="K444" s="12">
        <v>0.9</v>
      </c>
      <c r="L444" s="154" t="s">
        <v>6</v>
      </c>
      <c r="M444" s="156"/>
      <c r="N444" s="20">
        <v>3.3</v>
      </c>
    </row>
    <row r="445" spans="2:14" ht="16.5" thickBot="1" x14ac:dyDescent="0.3">
      <c r="B445" s="5"/>
      <c r="C445" s="9"/>
      <c r="D445" s="9"/>
      <c r="E445" s="9"/>
      <c r="F445" s="9"/>
      <c r="G445" s="9"/>
      <c r="H445" s="79"/>
      <c r="I445" s="21"/>
      <c r="J445" s="21"/>
      <c r="K445" s="21"/>
      <c r="L445" s="21"/>
      <c r="M445" s="21"/>
      <c r="N445" s="6"/>
    </row>
    <row r="446" spans="2:14" ht="15.75" x14ac:dyDescent="0.25">
      <c r="B446" s="7" t="s">
        <v>7</v>
      </c>
      <c r="C446" s="1">
        <v>1</v>
      </c>
      <c r="D446" s="1">
        <v>2</v>
      </c>
      <c r="E446" s="1">
        <v>3</v>
      </c>
      <c r="F446" s="1">
        <v>4</v>
      </c>
      <c r="G446" s="1">
        <v>5</v>
      </c>
      <c r="H446" s="77">
        <v>6</v>
      </c>
      <c r="I446" s="160" t="s">
        <v>280</v>
      </c>
      <c r="J446" s="161"/>
      <c r="K446" s="161"/>
      <c r="L446" s="161"/>
      <c r="M446" s="161"/>
      <c r="N446" s="162"/>
    </row>
    <row r="447" spans="2:14" ht="47.25" x14ac:dyDescent="0.25">
      <c r="B447" s="143" t="s">
        <v>10</v>
      </c>
      <c r="C447" s="19">
        <v>42</v>
      </c>
      <c r="D447" s="19">
        <v>41</v>
      </c>
      <c r="E447" s="19">
        <v>40</v>
      </c>
      <c r="F447" s="19">
        <v>43</v>
      </c>
      <c r="G447" s="19">
        <v>42</v>
      </c>
      <c r="H447" s="95">
        <v>43</v>
      </c>
      <c r="I447" s="163"/>
      <c r="J447" s="164"/>
      <c r="K447" s="164"/>
      <c r="L447" s="164"/>
      <c r="M447" s="164"/>
      <c r="N447" s="165"/>
    </row>
    <row r="448" spans="2:14" ht="16.5" thickBot="1" x14ac:dyDescent="0.3">
      <c r="B448" s="94" t="s">
        <v>12</v>
      </c>
      <c r="C448" s="93">
        <v>101</v>
      </c>
      <c r="D448" s="93">
        <v>124</v>
      </c>
      <c r="E448" s="93">
        <v>129</v>
      </c>
      <c r="F448" s="93">
        <v>139</v>
      </c>
      <c r="G448" s="93">
        <v>133</v>
      </c>
      <c r="H448" s="97">
        <v>106</v>
      </c>
      <c r="I448" s="166"/>
      <c r="J448" s="167"/>
      <c r="K448" s="167"/>
      <c r="L448" s="167"/>
      <c r="M448" s="167"/>
      <c r="N448" s="168"/>
    </row>
    <row r="450" spans="2:14" ht="15.75" thickBot="1" x14ac:dyDescent="0.3"/>
    <row r="451" spans="2:14" ht="15.75" x14ac:dyDescent="0.25">
      <c r="B451" s="2" t="s">
        <v>0</v>
      </c>
      <c r="C451" s="144" t="s">
        <v>202</v>
      </c>
      <c r="D451" s="145"/>
      <c r="E451" s="146" t="s">
        <v>1</v>
      </c>
      <c r="F451" s="147"/>
      <c r="G451" s="11">
        <v>140</v>
      </c>
      <c r="H451" s="148" t="s">
        <v>2</v>
      </c>
      <c r="I451" s="149"/>
      <c r="J451" s="150"/>
      <c r="K451" s="13">
        <v>140</v>
      </c>
      <c r="L451" s="3"/>
      <c r="M451" s="80" t="s">
        <v>11</v>
      </c>
      <c r="N451" s="98">
        <v>45689</v>
      </c>
    </row>
    <row r="452" spans="2:14" ht="15.75" x14ac:dyDescent="0.25">
      <c r="B452" s="4" t="s">
        <v>3</v>
      </c>
      <c r="C452" s="10">
        <v>29261</v>
      </c>
      <c r="D452" s="151" t="s">
        <v>57</v>
      </c>
      <c r="E452" s="152"/>
      <c r="F452" s="153"/>
      <c r="G452" s="18">
        <v>0</v>
      </c>
      <c r="H452" s="154" t="s">
        <v>4</v>
      </c>
      <c r="I452" s="155"/>
      <c r="J452" s="156"/>
      <c r="K452" s="113">
        <v>0</v>
      </c>
      <c r="L452" s="15"/>
      <c r="M452" s="15"/>
      <c r="N452" s="16"/>
    </row>
    <row r="453" spans="2:14" ht="15.75" x14ac:dyDescent="0.25">
      <c r="B453" s="4" t="s">
        <v>5</v>
      </c>
      <c r="C453" s="19">
        <v>0</v>
      </c>
      <c r="D453" s="151" t="s">
        <v>8</v>
      </c>
      <c r="E453" s="152"/>
      <c r="F453" s="153"/>
      <c r="G453" s="17">
        <v>0.28000000000000003</v>
      </c>
      <c r="H453" s="154" t="s">
        <v>254</v>
      </c>
      <c r="I453" s="155"/>
      <c r="J453" s="156"/>
      <c r="K453" s="12">
        <v>0.9</v>
      </c>
      <c r="L453" s="154" t="s">
        <v>6</v>
      </c>
      <c r="M453" s="156"/>
      <c r="N453" s="20">
        <v>3.3</v>
      </c>
    </row>
    <row r="454" spans="2:14" ht="16.5" thickBot="1" x14ac:dyDescent="0.3">
      <c r="B454" s="5"/>
      <c r="C454" s="9"/>
      <c r="D454" s="9"/>
      <c r="E454" s="9"/>
      <c r="F454" s="9"/>
      <c r="G454" s="9"/>
      <c r="H454" s="79"/>
      <c r="I454" s="21"/>
      <c r="J454" s="21"/>
      <c r="K454" s="21"/>
      <c r="L454" s="21"/>
      <c r="M454" s="21"/>
      <c r="N454" s="6"/>
    </row>
    <row r="455" spans="2:14" ht="15.75" customHeight="1" x14ac:dyDescent="0.25">
      <c r="B455" s="7" t="s">
        <v>7</v>
      </c>
      <c r="C455" s="1">
        <v>1</v>
      </c>
      <c r="D455" s="1">
        <v>2</v>
      </c>
      <c r="E455" s="1">
        <v>3</v>
      </c>
      <c r="F455" s="1">
        <v>4</v>
      </c>
      <c r="G455" s="1">
        <v>5</v>
      </c>
      <c r="H455" s="77">
        <v>6</v>
      </c>
      <c r="I455" s="160" t="s">
        <v>279</v>
      </c>
      <c r="J455" s="161"/>
      <c r="K455" s="161"/>
      <c r="L455" s="161"/>
      <c r="M455" s="161"/>
      <c r="N455" s="162"/>
    </row>
    <row r="456" spans="2:14" ht="47.25" x14ac:dyDescent="0.25">
      <c r="B456" s="143" t="s">
        <v>10</v>
      </c>
      <c r="C456" s="19"/>
      <c r="D456" s="19"/>
      <c r="E456" s="19"/>
      <c r="F456" s="19"/>
      <c r="G456" s="19"/>
      <c r="H456" s="95"/>
      <c r="I456" s="163"/>
      <c r="J456" s="164"/>
      <c r="K456" s="164"/>
      <c r="L456" s="164"/>
      <c r="M456" s="164"/>
      <c r="N456" s="165"/>
    </row>
    <row r="457" spans="2:14" ht="16.5" thickBot="1" x14ac:dyDescent="0.3">
      <c r="B457" s="94" t="s">
        <v>12</v>
      </c>
      <c r="C457" s="93"/>
      <c r="D457" s="93"/>
      <c r="E457" s="93"/>
      <c r="F457" s="93"/>
      <c r="G457" s="93"/>
      <c r="H457" s="97"/>
      <c r="I457" s="166"/>
      <c r="J457" s="167"/>
      <c r="K457" s="167"/>
      <c r="L457" s="167"/>
      <c r="M457" s="167"/>
      <c r="N457" s="168"/>
    </row>
    <row r="458" spans="2:14" ht="15.75" thickBot="1" x14ac:dyDescent="0.3"/>
    <row r="459" spans="2:14" ht="15.75" x14ac:dyDescent="0.25">
      <c r="B459" s="2" t="s">
        <v>0</v>
      </c>
      <c r="C459" s="144" t="s">
        <v>202</v>
      </c>
      <c r="D459" s="145"/>
      <c r="E459" s="146" t="s">
        <v>1</v>
      </c>
      <c r="F459" s="147"/>
      <c r="G459" s="11">
        <v>140</v>
      </c>
      <c r="H459" s="148" t="s">
        <v>2</v>
      </c>
      <c r="I459" s="149"/>
      <c r="J459" s="150"/>
      <c r="K459" s="13">
        <v>140</v>
      </c>
      <c r="L459" s="3"/>
      <c r="M459" s="80" t="s">
        <v>11</v>
      </c>
      <c r="N459" s="98">
        <v>45696</v>
      </c>
    </row>
    <row r="460" spans="2:14" ht="15.75" x14ac:dyDescent="0.25">
      <c r="B460" s="4" t="s">
        <v>3</v>
      </c>
      <c r="C460" s="10">
        <v>29404</v>
      </c>
      <c r="D460" s="151" t="s">
        <v>57</v>
      </c>
      <c r="E460" s="152"/>
      <c r="F460" s="153"/>
      <c r="G460" s="18">
        <v>0</v>
      </c>
      <c r="H460" s="154" t="s">
        <v>4</v>
      </c>
      <c r="I460" s="155"/>
      <c r="J460" s="156"/>
      <c r="K460" s="113">
        <v>45</v>
      </c>
      <c r="L460" s="15"/>
      <c r="M460" s="15"/>
      <c r="N460" s="16"/>
    </row>
    <row r="461" spans="2:14" ht="15.75" x14ac:dyDescent="0.25">
      <c r="B461" s="4" t="s">
        <v>5</v>
      </c>
      <c r="C461" s="19">
        <v>35</v>
      </c>
      <c r="D461" s="151" t="s">
        <v>8</v>
      </c>
      <c r="E461" s="152"/>
      <c r="F461" s="153"/>
      <c r="G461" s="17">
        <v>0.28000000000000003</v>
      </c>
      <c r="H461" s="154" t="s">
        <v>254</v>
      </c>
      <c r="I461" s="155"/>
      <c r="J461" s="156"/>
      <c r="K461" s="12">
        <v>0.92</v>
      </c>
      <c r="L461" s="154" t="s">
        <v>6</v>
      </c>
      <c r="M461" s="156"/>
      <c r="N461" s="20">
        <v>3.3</v>
      </c>
    </row>
    <row r="462" spans="2:14" ht="16.5" thickBot="1" x14ac:dyDescent="0.3">
      <c r="B462" s="5"/>
      <c r="C462" s="9"/>
      <c r="D462" s="9"/>
      <c r="E462" s="9"/>
      <c r="F462" s="9"/>
      <c r="G462" s="9"/>
      <c r="H462" s="79"/>
      <c r="I462" s="21"/>
      <c r="J462" s="21"/>
      <c r="K462" s="21"/>
      <c r="L462" s="21"/>
      <c r="M462" s="21"/>
      <c r="N462" s="6"/>
    </row>
    <row r="463" spans="2:14" ht="15.75" customHeight="1" x14ac:dyDescent="0.25">
      <c r="B463" s="7" t="s">
        <v>7</v>
      </c>
      <c r="C463" s="1">
        <v>1</v>
      </c>
      <c r="D463" s="1">
        <v>2</v>
      </c>
      <c r="E463" s="1">
        <v>3</v>
      </c>
      <c r="F463" s="1">
        <v>4</v>
      </c>
      <c r="G463" s="1">
        <v>5</v>
      </c>
      <c r="H463" s="77">
        <v>6</v>
      </c>
      <c r="I463" s="160" t="s">
        <v>287</v>
      </c>
      <c r="J463" s="161"/>
      <c r="K463" s="161"/>
      <c r="L463" s="161"/>
      <c r="M463" s="161"/>
      <c r="N463" s="162"/>
    </row>
    <row r="464" spans="2:14" ht="47.25" x14ac:dyDescent="0.25">
      <c r="B464" s="143" t="s">
        <v>10</v>
      </c>
      <c r="C464" s="19">
        <v>42</v>
      </c>
      <c r="D464" s="19">
        <v>41</v>
      </c>
      <c r="E464" s="19">
        <v>40</v>
      </c>
      <c r="F464" s="19">
        <v>43</v>
      </c>
      <c r="G464" s="19">
        <v>42</v>
      </c>
      <c r="H464" s="95">
        <v>43</v>
      </c>
      <c r="I464" s="163"/>
      <c r="J464" s="164"/>
      <c r="K464" s="164"/>
      <c r="L464" s="164"/>
      <c r="M464" s="164"/>
      <c r="N464" s="165"/>
    </row>
    <row r="465" spans="2:14" ht="16.5" thickBot="1" x14ac:dyDescent="0.3">
      <c r="B465" s="94" t="s">
        <v>12</v>
      </c>
      <c r="C465" s="93">
        <v>101</v>
      </c>
      <c r="D465" s="93">
        <v>124</v>
      </c>
      <c r="E465" s="93">
        <v>129</v>
      </c>
      <c r="F465" s="93">
        <v>132</v>
      </c>
      <c r="G465" s="93">
        <v>105</v>
      </c>
      <c r="H465" s="97">
        <v>106</v>
      </c>
      <c r="I465" s="166"/>
      <c r="J465" s="167"/>
      <c r="K465" s="167"/>
      <c r="L465" s="167"/>
      <c r="M465" s="167"/>
      <c r="N465" s="168"/>
    </row>
    <row r="466" spans="2:14" ht="15.75" thickBot="1" x14ac:dyDescent="0.3"/>
    <row r="467" spans="2:14" ht="15.75" x14ac:dyDescent="0.25">
      <c r="B467" s="2" t="s">
        <v>0</v>
      </c>
      <c r="C467" s="144" t="s">
        <v>202</v>
      </c>
      <c r="D467" s="145"/>
      <c r="E467" s="146" t="s">
        <v>1</v>
      </c>
      <c r="F467" s="147"/>
      <c r="G467" s="11">
        <v>140</v>
      </c>
      <c r="H467" s="148" t="s">
        <v>2</v>
      </c>
      <c r="I467" s="149"/>
      <c r="J467" s="150"/>
      <c r="K467" s="13">
        <v>140</v>
      </c>
      <c r="L467" s="3"/>
      <c r="M467" s="80" t="s">
        <v>11</v>
      </c>
      <c r="N467" s="98">
        <v>45703</v>
      </c>
    </row>
    <row r="468" spans="2:14" ht="15.75" x14ac:dyDescent="0.25">
      <c r="B468" s="4" t="s">
        <v>3</v>
      </c>
      <c r="C468" s="10">
        <v>29417</v>
      </c>
      <c r="D468" s="151" t="s">
        <v>57</v>
      </c>
      <c r="E468" s="152"/>
      <c r="F468" s="153"/>
      <c r="G468" s="18">
        <v>0</v>
      </c>
      <c r="H468" s="154" t="s">
        <v>4</v>
      </c>
      <c r="I468" s="155"/>
      <c r="J468" s="156"/>
      <c r="K468" s="113"/>
      <c r="L468" s="15"/>
      <c r="M468" s="15"/>
      <c r="N468" s="16"/>
    </row>
    <row r="469" spans="2:14" ht="15.75" x14ac:dyDescent="0.25">
      <c r="B469" s="4" t="s">
        <v>5</v>
      </c>
      <c r="C469" s="19">
        <v>0</v>
      </c>
      <c r="D469" s="151" t="s">
        <v>8</v>
      </c>
      <c r="E469" s="152"/>
      <c r="F469" s="153"/>
      <c r="G469" s="17">
        <v>0.28000000000000003</v>
      </c>
      <c r="H469" s="154" t="s">
        <v>254</v>
      </c>
      <c r="I469" s="155"/>
      <c r="J469" s="156"/>
      <c r="K469" s="12">
        <v>0.92</v>
      </c>
      <c r="L469" s="154" t="s">
        <v>6</v>
      </c>
      <c r="M469" s="156"/>
      <c r="N469" s="20">
        <v>3.3</v>
      </c>
    </row>
    <row r="470" spans="2:14" ht="16.5" thickBot="1" x14ac:dyDescent="0.3">
      <c r="B470" s="5"/>
      <c r="C470" s="9"/>
      <c r="D470" s="9"/>
      <c r="E470" s="9"/>
      <c r="F470" s="9"/>
      <c r="G470" s="9"/>
      <c r="H470" s="79"/>
      <c r="I470" s="21"/>
      <c r="J470" s="21"/>
      <c r="K470" s="21"/>
      <c r="L470" s="21"/>
      <c r="M470" s="21"/>
      <c r="N470" s="6"/>
    </row>
    <row r="471" spans="2:14" ht="15.75" customHeight="1" x14ac:dyDescent="0.25">
      <c r="B471" s="7" t="s">
        <v>7</v>
      </c>
      <c r="C471" s="1">
        <v>1</v>
      </c>
      <c r="D471" s="1">
        <v>2</v>
      </c>
      <c r="E471" s="1">
        <v>3</v>
      </c>
      <c r="F471" s="1">
        <v>4</v>
      </c>
      <c r="G471" s="1">
        <v>5</v>
      </c>
      <c r="H471" s="77">
        <v>6</v>
      </c>
      <c r="I471" s="160" t="s">
        <v>288</v>
      </c>
      <c r="J471" s="161"/>
      <c r="K471" s="161"/>
      <c r="L471" s="161"/>
      <c r="M471" s="161"/>
      <c r="N471" s="162"/>
    </row>
    <row r="472" spans="2:14" ht="47.25" x14ac:dyDescent="0.25">
      <c r="B472" s="143" t="s">
        <v>10</v>
      </c>
      <c r="C472" s="19"/>
      <c r="D472" s="19"/>
      <c r="E472" s="19"/>
      <c r="F472" s="19"/>
      <c r="G472" s="19"/>
      <c r="H472" s="95"/>
      <c r="I472" s="163"/>
      <c r="J472" s="164"/>
      <c r="K472" s="164"/>
      <c r="L472" s="164"/>
      <c r="M472" s="164"/>
      <c r="N472" s="165"/>
    </row>
    <row r="473" spans="2:14" ht="16.5" thickBot="1" x14ac:dyDescent="0.3">
      <c r="B473" s="94" t="s">
        <v>12</v>
      </c>
      <c r="C473" s="93"/>
      <c r="D473" s="93"/>
      <c r="E473" s="93"/>
      <c r="F473" s="93"/>
      <c r="G473" s="93"/>
      <c r="H473" s="97"/>
      <c r="I473" s="166"/>
      <c r="J473" s="167"/>
      <c r="K473" s="167"/>
      <c r="L473" s="167"/>
      <c r="M473" s="167"/>
      <c r="N473" s="168"/>
    </row>
    <row r="474" spans="2:14" ht="15.75" thickBot="1" x14ac:dyDescent="0.3"/>
    <row r="475" spans="2:14" ht="15.75" x14ac:dyDescent="0.25">
      <c r="B475" s="2" t="s">
        <v>0</v>
      </c>
      <c r="C475" s="144" t="s">
        <v>202</v>
      </c>
      <c r="D475" s="145"/>
      <c r="E475" s="146" t="s">
        <v>1</v>
      </c>
      <c r="F475" s="147"/>
      <c r="G475" s="11">
        <v>140</v>
      </c>
      <c r="H475" s="148" t="s">
        <v>2</v>
      </c>
      <c r="I475" s="149"/>
      <c r="J475" s="150"/>
      <c r="K475" s="13">
        <v>140</v>
      </c>
      <c r="L475" s="3"/>
      <c r="M475" s="80" t="s">
        <v>11</v>
      </c>
      <c r="N475" s="98">
        <v>45709</v>
      </c>
    </row>
    <row r="476" spans="2:14" ht="15.75" x14ac:dyDescent="0.25">
      <c r="B476" s="4" t="s">
        <v>3</v>
      </c>
      <c r="C476" s="10">
        <v>29537</v>
      </c>
      <c r="D476" s="151" t="s">
        <v>57</v>
      </c>
      <c r="E476" s="152"/>
      <c r="F476" s="153"/>
      <c r="G476" s="18">
        <v>0</v>
      </c>
      <c r="H476" s="154" t="s">
        <v>4</v>
      </c>
      <c r="I476" s="155"/>
      <c r="J476" s="156"/>
      <c r="K476" s="113">
        <v>60</v>
      </c>
      <c r="L476" s="15"/>
      <c r="M476" s="15"/>
      <c r="N476" s="16"/>
    </row>
    <row r="477" spans="2:14" ht="15.75" x14ac:dyDescent="0.25">
      <c r="B477" s="4" t="s">
        <v>5</v>
      </c>
      <c r="C477" s="19">
        <v>72</v>
      </c>
      <c r="D477" s="151" t="s">
        <v>8</v>
      </c>
      <c r="E477" s="152"/>
      <c r="F477" s="153"/>
      <c r="G477" s="17">
        <v>0.28000000000000003</v>
      </c>
      <c r="H477" s="154" t="s">
        <v>254</v>
      </c>
      <c r="I477" s="155"/>
      <c r="J477" s="156"/>
      <c r="K477" s="12">
        <v>0.92</v>
      </c>
      <c r="L477" s="154" t="s">
        <v>6</v>
      </c>
      <c r="M477" s="156"/>
      <c r="N477" s="20">
        <v>3.3</v>
      </c>
    </row>
    <row r="478" spans="2:14" ht="16.5" thickBot="1" x14ac:dyDescent="0.3">
      <c r="B478" s="5"/>
      <c r="C478" s="9"/>
      <c r="D478" s="9"/>
      <c r="E478" s="9"/>
      <c r="F478" s="9"/>
      <c r="G478" s="9"/>
      <c r="H478" s="79"/>
      <c r="I478" s="21"/>
      <c r="J478" s="21"/>
      <c r="K478" s="21"/>
      <c r="L478" s="21"/>
      <c r="M478" s="21"/>
      <c r="N478" s="6"/>
    </row>
    <row r="479" spans="2:14" ht="15.75" customHeight="1" x14ac:dyDescent="0.25">
      <c r="B479" s="7" t="s">
        <v>7</v>
      </c>
      <c r="C479" s="1">
        <v>1</v>
      </c>
      <c r="D479" s="1">
        <v>2</v>
      </c>
      <c r="E479" s="1">
        <v>3</v>
      </c>
      <c r="F479" s="1">
        <v>4</v>
      </c>
      <c r="G479" s="1">
        <v>5</v>
      </c>
      <c r="H479" s="77">
        <v>6</v>
      </c>
      <c r="I479" s="160" t="s">
        <v>289</v>
      </c>
      <c r="J479" s="161"/>
      <c r="K479" s="161"/>
      <c r="L479" s="161"/>
      <c r="M479" s="161"/>
      <c r="N479" s="162"/>
    </row>
    <row r="480" spans="2:14" ht="47.25" x14ac:dyDescent="0.25">
      <c r="B480" s="143" t="s">
        <v>10</v>
      </c>
      <c r="C480" s="19">
        <v>40</v>
      </c>
      <c r="D480" s="19">
        <v>41</v>
      </c>
      <c r="E480" s="19">
        <v>42</v>
      </c>
      <c r="F480" s="19">
        <v>43</v>
      </c>
      <c r="G480" s="19">
        <v>42</v>
      </c>
      <c r="H480" s="95">
        <v>41</v>
      </c>
      <c r="I480" s="163"/>
      <c r="J480" s="164"/>
      <c r="K480" s="164"/>
      <c r="L480" s="164"/>
      <c r="M480" s="164"/>
      <c r="N480" s="165"/>
    </row>
    <row r="481" spans="2:14" ht="16.5" thickBot="1" x14ac:dyDescent="0.3">
      <c r="B481" s="94" t="s">
        <v>12</v>
      </c>
      <c r="C481" s="93">
        <v>75</v>
      </c>
      <c r="D481" s="93">
        <v>93</v>
      </c>
      <c r="E481" s="93">
        <v>98</v>
      </c>
      <c r="F481" s="93">
        <v>106</v>
      </c>
      <c r="G481" s="93">
        <v>95</v>
      </c>
      <c r="H481" s="97">
        <v>113</v>
      </c>
      <c r="I481" s="166"/>
      <c r="J481" s="167"/>
      <c r="K481" s="167"/>
      <c r="L481" s="167"/>
      <c r="M481" s="167"/>
      <c r="N481" s="168"/>
    </row>
    <row r="482" spans="2:14" ht="15.75" thickBot="1" x14ac:dyDescent="0.3"/>
    <row r="483" spans="2:14" ht="15.75" x14ac:dyDescent="0.25">
      <c r="B483" s="2" t="s">
        <v>0</v>
      </c>
      <c r="C483" s="144" t="s">
        <v>202</v>
      </c>
      <c r="D483" s="145"/>
      <c r="E483" s="146" t="s">
        <v>1</v>
      </c>
      <c r="F483" s="147"/>
      <c r="G483" s="11">
        <v>140</v>
      </c>
      <c r="H483" s="148" t="s">
        <v>2</v>
      </c>
      <c r="I483" s="149"/>
      <c r="J483" s="150"/>
      <c r="K483" s="13">
        <v>140</v>
      </c>
      <c r="L483" s="3"/>
      <c r="M483" s="80" t="s">
        <v>11</v>
      </c>
      <c r="N483" s="98">
        <v>45717</v>
      </c>
    </row>
    <row r="484" spans="2:14" ht="15.75" x14ac:dyDescent="0.25">
      <c r="B484" s="4" t="s">
        <v>3</v>
      </c>
      <c r="C484" s="10">
        <v>29643</v>
      </c>
      <c r="D484" s="151" t="s">
        <v>57</v>
      </c>
      <c r="E484" s="152"/>
      <c r="F484" s="153"/>
      <c r="G484" s="18">
        <v>0</v>
      </c>
      <c r="H484" s="154" t="s">
        <v>4</v>
      </c>
      <c r="I484" s="155"/>
      <c r="J484" s="156"/>
      <c r="K484" s="113">
        <v>45</v>
      </c>
      <c r="L484" s="15"/>
      <c r="M484" s="15"/>
      <c r="N484" s="16"/>
    </row>
    <row r="485" spans="2:14" ht="15.75" x14ac:dyDescent="0.25">
      <c r="B485" s="4" t="s">
        <v>5</v>
      </c>
      <c r="C485" s="19">
        <v>44</v>
      </c>
      <c r="D485" s="151" t="s">
        <v>8</v>
      </c>
      <c r="E485" s="152"/>
      <c r="F485" s="153"/>
      <c r="G485" s="17">
        <v>0.28000000000000003</v>
      </c>
      <c r="H485" s="154" t="s">
        <v>254</v>
      </c>
      <c r="I485" s="155"/>
      <c r="J485" s="156"/>
      <c r="K485" s="12">
        <v>0.92</v>
      </c>
      <c r="L485" s="154" t="s">
        <v>6</v>
      </c>
      <c r="M485" s="156"/>
      <c r="N485" s="20">
        <v>3.3</v>
      </c>
    </row>
    <row r="486" spans="2:14" ht="16.5" thickBot="1" x14ac:dyDescent="0.3">
      <c r="B486" s="5"/>
      <c r="C486" s="9"/>
      <c r="D486" s="9"/>
      <c r="E486" s="9"/>
      <c r="F486" s="9"/>
      <c r="G486" s="9"/>
      <c r="H486" s="79"/>
      <c r="I486" s="21"/>
      <c r="J486" s="21"/>
      <c r="K486" s="21"/>
      <c r="L486" s="21"/>
      <c r="M486" s="21"/>
      <c r="N486" s="6"/>
    </row>
    <row r="487" spans="2:14" ht="15.75" x14ac:dyDescent="0.25">
      <c r="B487" s="7" t="s">
        <v>7</v>
      </c>
      <c r="C487" s="1">
        <v>1</v>
      </c>
      <c r="D487" s="1">
        <v>2</v>
      </c>
      <c r="E487" s="1">
        <v>3</v>
      </c>
      <c r="F487" s="1">
        <v>4</v>
      </c>
      <c r="G487" s="1">
        <v>5</v>
      </c>
      <c r="H487" s="77">
        <v>6</v>
      </c>
      <c r="I487" s="160" t="s">
        <v>290</v>
      </c>
      <c r="J487" s="161"/>
      <c r="K487" s="161"/>
      <c r="L487" s="161"/>
      <c r="M487" s="161"/>
      <c r="N487" s="162"/>
    </row>
    <row r="488" spans="2:14" ht="47.25" x14ac:dyDescent="0.25">
      <c r="B488" s="143" t="s">
        <v>10</v>
      </c>
      <c r="C488" s="19">
        <v>42</v>
      </c>
      <c r="D488" s="19">
        <v>40</v>
      </c>
      <c r="E488" s="19">
        <v>41</v>
      </c>
      <c r="F488" s="19">
        <v>42</v>
      </c>
      <c r="G488" s="19">
        <v>42</v>
      </c>
      <c r="H488" s="95">
        <v>40</v>
      </c>
      <c r="I488" s="163"/>
      <c r="J488" s="164"/>
      <c r="K488" s="164"/>
      <c r="L488" s="164"/>
      <c r="M488" s="164"/>
      <c r="N488" s="165"/>
    </row>
    <row r="489" spans="2:14" ht="16.5" thickBot="1" x14ac:dyDescent="0.3">
      <c r="B489" s="94" t="s">
        <v>12</v>
      </c>
      <c r="C489" s="93">
        <v>79</v>
      </c>
      <c r="D489" s="93">
        <v>81</v>
      </c>
      <c r="E489" s="93">
        <v>105</v>
      </c>
      <c r="F489" s="93">
        <v>114</v>
      </c>
      <c r="G489" s="93">
        <v>90</v>
      </c>
      <c r="H489" s="97">
        <v>107</v>
      </c>
      <c r="I489" s="166"/>
      <c r="J489" s="167"/>
      <c r="K489" s="167"/>
      <c r="L489" s="167"/>
      <c r="M489" s="167"/>
      <c r="N489" s="168"/>
    </row>
    <row r="490" spans="2:14" ht="15.75" thickBot="1" x14ac:dyDescent="0.3"/>
    <row r="491" spans="2:14" ht="15.75" x14ac:dyDescent="0.25">
      <c r="B491" s="2" t="s">
        <v>0</v>
      </c>
      <c r="C491" s="144" t="s">
        <v>202</v>
      </c>
      <c r="D491" s="145"/>
      <c r="E491" s="146" t="s">
        <v>1</v>
      </c>
      <c r="F491" s="147"/>
      <c r="G491" s="11">
        <v>140</v>
      </c>
      <c r="H491" s="148" t="s">
        <v>2</v>
      </c>
      <c r="I491" s="149"/>
      <c r="J491" s="150"/>
      <c r="K491" s="13">
        <v>140</v>
      </c>
      <c r="L491" s="3"/>
      <c r="M491" s="80" t="s">
        <v>11</v>
      </c>
      <c r="N491" s="98">
        <v>45724</v>
      </c>
    </row>
    <row r="492" spans="2:14" ht="15.75" x14ac:dyDescent="0.25">
      <c r="B492" s="4" t="s">
        <v>3</v>
      </c>
      <c r="C492" s="10">
        <v>29773</v>
      </c>
      <c r="D492" s="151" t="s">
        <v>57</v>
      </c>
      <c r="E492" s="152"/>
      <c r="F492" s="153"/>
      <c r="G492" s="18">
        <v>0</v>
      </c>
      <c r="H492" s="154" t="s">
        <v>4</v>
      </c>
      <c r="I492" s="155"/>
      <c r="J492" s="156"/>
      <c r="K492" s="113">
        <v>58</v>
      </c>
      <c r="L492" s="15"/>
      <c r="M492" s="15"/>
      <c r="N492" s="16"/>
    </row>
    <row r="493" spans="2:14" ht="15.75" x14ac:dyDescent="0.25">
      <c r="B493" s="4" t="s">
        <v>5</v>
      </c>
      <c r="C493" s="19">
        <v>67</v>
      </c>
      <c r="D493" s="151" t="s">
        <v>8</v>
      </c>
      <c r="E493" s="152"/>
      <c r="F493" s="153"/>
      <c r="G493" s="17">
        <v>0.28000000000000003</v>
      </c>
      <c r="H493" s="154" t="s">
        <v>254</v>
      </c>
      <c r="I493" s="155"/>
      <c r="J493" s="156"/>
      <c r="K493" s="12">
        <v>0.92</v>
      </c>
      <c r="L493" s="154" t="s">
        <v>6</v>
      </c>
      <c r="M493" s="156"/>
      <c r="N493" s="20">
        <v>3.3</v>
      </c>
    </row>
    <row r="494" spans="2:14" ht="16.5" thickBot="1" x14ac:dyDescent="0.3">
      <c r="B494" s="5"/>
      <c r="C494" s="9"/>
      <c r="D494" s="9"/>
      <c r="E494" s="9"/>
      <c r="F494" s="9"/>
      <c r="G494" s="9"/>
      <c r="H494" s="79"/>
      <c r="I494" s="21"/>
      <c r="J494" s="21"/>
      <c r="K494" s="21"/>
      <c r="L494" s="21"/>
      <c r="M494" s="21"/>
      <c r="N494" s="6"/>
    </row>
    <row r="495" spans="2:14" ht="15.75" customHeight="1" x14ac:dyDescent="0.25">
      <c r="B495" s="7" t="s">
        <v>7</v>
      </c>
      <c r="C495" s="1">
        <v>1</v>
      </c>
      <c r="D495" s="1">
        <v>2</v>
      </c>
      <c r="E495" s="1">
        <v>3</v>
      </c>
      <c r="F495" s="1">
        <v>4</v>
      </c>
      <c r="G495" s="1">
        <v>5</v>
      </c>
      <c r="H495" s="77">
        <v>6</v>
      </c>
      <c r="I495" s="160" t="s">
        <v>291</v>
      </c>
      <c r="J495" s="161"/>
      <c r="K495" s="161"/>
      <c r="L495" s="161"/>
      <c r="M495" s="161"/>
      <c r="N495" s="162"/>
    </row>
    <row r="496" spans="2:14" ht="47.25" x14ac:dyDescent="0.25">
      <c r="B496" s="143" t="s">
        <v>10</v>
      </c>
      <c r="C496" s="19">
        <v>44</v>
      </c>
      <c r="D496" s="19">
        <v>41</v>
      </c>
      <c r="E496" s="19">
        <v>44</v>
      </c>
      <c r="F496" s="19">
        <v>43</v>
      </c>
      <c r="G496" s="19">
        <v>42</v>
      </c>
      <c r="H496" s="95">
        <v>42</v>
      </c>
      <c r="I496" s="163"/>
      <c r="J496" s="164"/>
      <c r="K496" s="164"/>
      <c r="L496" s="164"/>
      <c r="M496" s="164"/>
      <c r="N496" s="165"/>
    </row>
    <row r="497" spans="2:14" ht="16.5" thickBot="1" x14ac:dyDescent="0.3">
      <c r="B497" s="94" t="s">
        <v>12</v>
      </c>
      <c r="C497" s="93">
        <v>110</v>
      </c>
      <c r="D497" s="93">
        <v>96</v>
      </c>
      <c r="E497" s="93">
        <v>81</v>
      </c>
      <c r="F497" s="93">
        <v>105</v>
      </c>
      <c r="G497" s="93">
        <v>94</v>
      </c>
      <c r="H497" s="97">
        <v>87</v>
      </c>
      <c r="I497" s="166"/>
      <c r="J497" s="167"/>
      <c r="K497" s="167"/>
      <c r="L497" s="167"/>
      <c r="M497" s="167"/>
      <c r="N497" s="168"/>
    </row>
    <row r="498" spans="2:14" ht="15.75" thickBot="1" x14ac:dyDescent="0.3"/>
    <row r="499" spans="2:14" ht="15.75" x14ac:dyDescent="0.25">
      <c r="B499" s="2" t="s">
        <v>0</v>
      </c>
      <c r="C499" s="144" t="s">
        <v>202</v>
      </c>
      <c r="D499" s="145"/>
      <c r="E499" s="146" t="s">
        <v>1</v>
      </c>
      <c r="F499" s="147"/>
      <c r="G499" s="11">
        <v>140</v>
      </c>
      <c r="H499" s="148" t="s">
        <v>2</v>
      </c>
      <c r="I499" s="149"/>
      <c r="J499" s="150"/>
      <c r="K499" s="13">
        <v>140</v>
      </c>
      <c r="L499" s="3"/>
      <c r="M499" s="80" t="s">
        <v>11</v>
      </c>
      <c r="N499" s="98">
        <v>45731</v>
      </c>
    </row>
    <row r="500" spans="2:14" ht="15.75" x14ac:dyDescent="0.25">
      <c r="B500" s="4" t="s">
        <v>3</v>
      </c>
      <c r="C500" s="10">
        <v>29902</v>
      </c>
      <c r="D500" s="151" t="s">
        <v>57</v>
      </c>
      <c r="E500" s="152"/>
      <c r="F500" s="153"/>
      <c r="G500" s="18">
        <v>0</v>
      </c>
      <c r="H500" s="154" t="s">
        <v>4</v>
      </c>
      <c r="I500" s="155"/>
      <c r="J500" s="156"/>
      <c r="K500" s="113">
        <v>58</v>
      </c>
      <c r="L500" s="15"/>
      <c r="M500" s="15"/>
      <c r="N500" s="16"/>
    </row>
    <row r="501" spans="2:14" ht="15.75" x14ac:dyDescent="0.25">
      <c r="B501" s="4" t="s">
        <v>5</v>
      </c>
      <c r="C501" s="19">
        <v>72</v>
      </c>
      <c r="D501" s="151" t="s">
        <v>8</v>
      </c>
      <c r="E501" s="152"/>
      <c r="F501" s="153"/>
      <c r="G501" s="17">
        <v>0.28000000000000003</v>
      </c>
      <c r="H501" s="154" t="s">
        <v>254</v>
      </c>
      <c r="I501" s="155"/>
      <c r="J501" s="156"/>
      <c r="K501" s="12">
        <v>0.92</v>
      </c>
      <c r="L501" s="154" t="s">
        <v>6</v>
      </c>
      <c r="M501" s="156"/>
      <c r="N501" s="20">
        <v>3.3</v>
      </c>
    </row>
    <row r="502" spans="2:14" ht="16.5" thickBot="1" x14ac:dyDescent="0.3">
      <c r="B502" s="5"/>
      <c r="C502" s="9"/>
      <c r="D502" s="9"/>
      <c r="E502" s="9"/>
      <c r="F502" s="9"/>
      <c r="G502" s="9"/>
      <c r="H502" s="79"/>
      <c r="I502" s="21"/>
      <c r="J502" s="21"/>
      <c r="K502" s="21"/>
      <c r="L502" s="21"/>
      <c r="M502" s="21"/>
      <c r="N502" s="6"/>
    </row>
    <row r="503" spans="2:14" ht="15.75" x14ac:dyDescent="0.25">
      <c r="B503" s="7" t="s">
        <v>7</v>
      </c>
      <c r="C503" s="1">
        <v>1</v>
      </c>
      <c r="D503" s="1">
        <v>2</v>
      </c>
      <c r="E503" s="1">
        <v>3</v>
      </c>
      <c r="F503" s="1">
        <v>4</v>
      </c>
      <c r="G503" s="1">
        <v>5</v>
      </c>
      <c r="H503" s="77">
        <v>6</v>
      </c>
      <c r="I503" s="160" t="s">
        <v>292</v>
      </c>
      <c r="J503" s="161"/>
      <c r="K503" s="161"/>
      <c r="L503" s="161"/>
      <c r="M503" s="161"/>
      <c r="N503" s="162"/>
    </row>
    <row r="504" spans="2:14" ht="47.25" x14ac:dyDescent="0.25">
      <c r="B504" s="143" t="s">
        <v>10</v>
      </c>
      <c r="C504" s="19">
        <v>41</v>
      </c>
      <c r="D504" s="19">
        <v>44</v>
      </c>
      <c r="E504" s="19">
        <v>40</v>
      </c>
      <c r="F504" s="19">
        <v>42</v>
      </c>
      <c r="G504" s="19">
        <v>43</v>
      </c>
      <c r="H504" s="95">
        <v>41</v>
      </c>
      <c r="I504" s="163"/>
      <c r="J504" s="164"/>
      <c r="K504" s="164"/>
      <c r="L504" s="164"/>
      <c r="M504" s="164"/>
      <c r="N504" s="165"/>
    </row>
    <row r="505" spans="2:14" ht="16.5" thickBot="1" x14ac:dyDescent="0.3">
      <c r="B505" s="94" t="s">
        <v>12</v>
      </c>
      <c r="C505" s="93">
        <v>115</v>
      </c>
      <c r="D505" s="93">
        <v>97</v>
      </c>
      <c r="E505" s="93">
        <v>88</v>
      </c>
      <c r="F505" s="93">
        <v>92</v>
      </c>
      <c r="G505" s="93">
        <v>104</v>
      </c>
      <c r="H505" s="97">
        <v>93</v>
      </c>
      <c r="I505" s="166"/>
      <c r="J505" s="167"/>
      <c r="K505" s="167"/>
      <c r="L505" s="167"/>
      <c r="M505" s="167"/>
      <c r="N505" s="168"/>
    </row>
    <row r="506" spans="2:14" ht="15.75" thickBot="1" x14ac:dyDescent="0.3"/>
    <row r="507" spans="2:14" ht="15.75" x14ac:dyDescent="0.25">
      <c r="B507" s="2" t="s">
        <v>0</v>
      </c>
      <c r="C507" s="144" t="s">
        <v>202</v>
      </c>
      <c r="D507" s="145"/>
      <c r="E507" s="146" t="s">
        <v>1</v>
      </c>
      <c r="F507" s="147"/>
      <c r="G507" s="11">
        <v>140</v>
      </c>
      <c r="H507" s="158" t="s">
        <v>2</v>
      </c>
      <c r="I507" s="149"/>
      <c r="J507" s="150"/>
      <c r="K507" s="13">
        <v>140</v>
      </c>
      <c r="L507" s="3"/>
      <c r="M507" s="80" t="s">
        <v>11</v>
      </c>
      <c r="N507" s="98">
        <v>45745</v>
      </c>
    </row>
    <row r="508" spans="2:14" ht="15.75" x14ac:dyDescent="0.25">
      <c r="B508" s="4" t="s">
        <v>3</v>
      </c>
      <c r="C508" s="10">
        <v>30183</v>
      </c>
      <c r="D508" s="159" t="s">
        <v>57</v>
      </c>
      <c r="E508" s="152"/>
      <c r="F508" s="153"/>
      <c r="G508" s="18">
        <v>6736</v>
      </c>
      <c r="H508" s="157" t="s">
        <v>4</v>
      </c>
      <c r="I508" s="155"/>
      <c r="J508" s="156"/>
      <c r="K508" s="113">
        <v>56</v>
      </c>
      <c r="L508" s="15"/>
      <c r="M508" s="15"/>
      <c r="N508" s="16"/>
    </row>
    <row r="509" spans="2:14" ht="15.75" x14ac:dyDescent="0.25">
      <c r="B509" s="4" t="s">
        <v>5</v>
      </c>
      <c r="C509" s="19">
        <v>65</v>
      </c>
      <c r="D509" s="159" t="s">
        <v>8</v>
      </c>
      <c r="E509" s="152"/>
      <c r="F509" s="153"/>
      <c r="G509" s="17">
        <v>0.28000000000000003</v>
      </c>
      <c r="H509" s="157" t="s">
        <v>254</v>
      </c>
      <c r="I509" s="155"/>
      <c r="J509" s="156"/>
      <c r="K509" s="12">
        <v>0.92</v>
      </c>
      <c r="L509" s="157" t="s">
        <v>6</v>
      </c>
      <c r="M509" s="156"/>
      <c r="N509" s="20">
        <v>3.02</v>
      </c>
    </row>
    <row r="510" spans="2:14" ht="16.5" thickBot="1" x14ac:dyDescent="0.3">
      <c r="B510" s="5"/>
      <c r="C510" s="9"/>
      <c r="D510" s="9"/>
      <c r="E510" s="9"/>
      <c r="F510" s="9"/>
      <c r="G510" s="9"/>
      <c r="H510" s="79"/>
      <c r="I510" s="21"/>
      <c r="J510" s="21"/>
      <c r="K510" s="21"/>
      <c r="L510" s="21"/>
      <c r="M510" s="21"/>
      <c r="N510" s="6"/>
    </row>
    <row r="511" spans="2:14" ht="15.75" x14ac:dyDescent="0.25">
      <c r="B511" s="7" t="s">
        <v>7</v>
      </c>
      <c r="C511" s="1">
        <v>1</v>
      </c>
      <c r="D511" s="1">
        <v>2</v>
      </c>
      <c r="E511" s="1">
        <v>3</v>
      </c>
      <c r="F511" s="1">
        <v>4</v>
      </c>
      <c r="G511" s="1">
        <v>5</v>
      </c>
      <c r="H511" s="77">
        <v>6</v>
      </c>
      <c r="I511" s="160" t="s">
        <v>293</v>
      </c>
      <c r="J511" s="161"/>
      <c r="K511" s="161"/>
      <c r="L511" s="161"/>
      <c r="M511" s="161"/>
      <c r="N511" s="162"/>
    </row>
    <row r="512" spans="2:14" ht="47.25" x14ac:dyDescent="0.25">
      <c r="B512" s="143" t="s">
        <v>10</v>
      </c>
      <c r="C512" s="19">
        <v>41</v>
      </c>
      <c r="D512" s="19">
        <v>43</v>
      </c>
      <c r="E512" s="19">
        <v>40</v>
      </c>
      <c r="F512" s="19">
        <v>41</v>
      </c>
      <c r="G512" s="19">
        <v>42</v>
      </c>
      <c r="H512" s="95">
        <v>41</v>
      </c>
      <c r="I512" s="163"/>
      <c r="J512" s="164"/>
      <c r="K512" s="164"/>
      <c r="L512" s="164"/>
      <c r="M512" s="164"/>
      <c r="N512" s="165"/>
    </row>
    <row r="513" spans="2:14" ht="16.5" thickBot="1" x14ac:dyDescent="0.3">
      <c r="B513" s="94" t="s">
        <v>12</v>
      </c>
      <c r="C513" s="93">
        <v>110</v>
      </c>
      <c r="D513" s="93">
        <v>100</v>
      </c>
      <c r="E513" s="93">
        <v>101</v>
      </c>
      <c r="F513" s="93">
        <v>105</v>
      </c>
      <c r="G513" s="93">
        <v>106</v>
      </c>
      <c r="H513" s="97">
        <v>95</v>
      </c>
      <c r="I513" s="166"/>
      <c r="J513" s="167"/>
      <c r="K513" s="167"/>
      <c r="L513" s="167"/>
      <c r="M513" s="167"/>
      <c r="N513" s="168"/>
    </row>
    <row r="514" spans="2:14" ht="15.75" thickBot="1" x14ac:dyDescent="0.3"/>
    <row r="515" spans="2:14" ht="15.75" x14ac:dyDescent="0.25">
      <c r="B515" s="2" t="s">
        <v>0</v>
      </c>
      <c r="C515" s="144" t="s">
        <v>202</v>
      </c>
      <c r="D515" s="145"/>
      <c r="E515" s="146" t="s">
        <v>1</v>
      </c>
      <c r="F515" s="147"/>
      <c r="G515" s="11">
        <v>140</v>
      </c>
      <c r="H515" s="158" t="s">
        <v>2</v>
      </c>
      <c r="I515" s="149"/>
      <c r="J515" s="150"/>
      <c r="K515" s="13">
        <v>140</v>
      </c>
      <c r="L515" s="3"/>
      <c r="M515" s="80" t="s">
        <v>11</v>
      </c>
      <c r="N515" s="98">
        <v>45752</v>
      </c>
    </row>
    <row r="516" spans="2:14" ht="15.75" x14ac:dyDescent="0.25">
      <c r="B516" s="4" t="s">
        <v>3</v>
      </c>
      <c r="C516" s="10">
        <v>30337</v>
      </c>
      <c r="D516" s="159" t="s">
        <v>57</v>
      </c>
      <c r="E516" s="152"/>
      <c r="F516" s="153"/>
      <c r="G516" s="18">
        <v>7826</v>
      </c>
      <c r="H516" s="157" t="s">
        <v>4</v>
      </c>
      <c r="I516" s="155"/>
      <c r="J516" s="156"/>
      <c r="K516" s="113">
        <v>56</v>
      </c>
      <c r="L516" s="15"/>
      <c r="M516" s="15"/>
      <c r="N516" s="16"/>
    </row>
    <row r="517" spans="2:14" ht="15.75" x14ac:dyDescent="0.25">
      <c r="B517" s="4" t="s">
        <v>5</v>
      </c>
      <c r="C517" s="19">
        <v>65</v>
      </c>
      <c r="D517" s="159" t="s">
        <v>8</v>
      </c>
      <c r="E517" s="152"/>
      <c r="F517" s="153"/>
      <c r="G517" s="17">
        <v>0.28000000000000003</v>
      </c>
      <c r="H517" s="157" t="s">
        <v>254</v>
      </c>
      <c r="I517" s="155"/>
      <c r="J517" s="156"/>
      <c r="K517" s="12">
        <v>0.92</v>
      </c>
      <c r="L517" s="157" t="s">
        <v>6</v>
      </c>
      <c r="M517" s="156"/>
      <c r="N517" s="20">
        <v>3.02</v>
      </c>
    </row>
    <row r="518" spans="2:14" ht="16.5" thickBot="1" x14ac:dyDescent="0.3">
      <c r="B518" s="5"/>
      <c r="C518" s="9"/>
      <c r="D518" s="9"/>
      <c r="E518" s="9"/>
      <c r="F518" s="9"/>
      <c r="G518" s="9"/>
      <c r="H518" s="79"/>
      <c r="I518" s="21"/>
      <c r="J518" s="21"/>
      <c r="K518" s="21"/>
      <c r="L518" s="21"/>
      <c r="M518" s="21"/>
      <c r="N518" s="6"/>
    </row>
    <row r="519" spans="2:14" ht="15.75" x14ac:dyDescent="0.25">
      <c r="B519" s="7" t="s">
        <v>7</v>
      </c>
      <c r="C519" s="1">
        <v>1</v>
      </c>
      <c r="D519" s="1">
        <v>2</v>
      </c>
      <c r="E519" s="1">
        <v>3</v>
      </c>
      <c r="F519" s="1">
        <v>4</v>
      </c>
      <c r="G519" s="1">
        <v>5</v>
      </c>
      <c r="H519" s="77">
        <v>6</v>
      </c>
      <c r="I519" s="160" t="s">
        <v>294</v>
      </c>
      <c r="J519" s="161"/>
      <c r="K519" s="161"/>
      <c r="L519" s="161"/>
      <c r="M519" s="161"/>
      <c r="N519" s="162"/>
    </row>
    <row r="520" spans="2:14" ht="47.25" x14ac:dyDescent="0.25">
      <c r="B520" s="143" t="s">
        <v>10</v>
      </c>
      <c r="C520" s="19">
        <v>41</v>
      </c>
      <c r="D520" s="19">
        <v>43</v>
      </c>
      <c r="E520" s="19">
        <v>40</v>
      </c>
      <c r="F520" s="19">
        <v>41</v>
      </c>
      <c r="G520" s="19">
        <v>42</v>
      </c>
      <c r="H520" s="95">
        <v>41</v>
      </c>
      <c r="I520" s="163"/>
      <c r="J520" s="164"/>
      <c r="K520" s="164"/>
      <c r="L520" s="164"/>
      <c r="M520" s="164"/>
      <c r="N520" s="165"/>
    </row>
    <row r="521" spans="2:14" ht="16.5" thickBot="1" x14ac:dyDescent="0.3">
      <c r="B521" s="94" t="s">
        <v>12</v>
      </c>
      <c r="C521" s="93">
        <v>91</v>
      </c>
      <c r="D521" s="93">
        <v>100</v>
      </c>
      <c r="E521" s="93">
        <v>105</v>
      </c>
      <c r="F521" s="93">
        <v>109</v>
      </c>
      <c r="G521" s="93">
        <v>98</v>
      </c>
      <c r="H521" s="97">
        <v>71</v>
      </c>
      <c r="I521" s="166"/>
      <c r="J521" s="167"/>
      <c r="K521" s="167"/>
      <c r="L521" s="167"/>
      <c r="M521" s="167"/>
      <c r="N521" s="168"/>
    </row>
    <row r="522" spans="2:14" ht="15.75" thickBot="1" x14ac:dyDescent="0.3"/>
    <row r="523" spans="2:14" ht="15.75" x14ac:dyDescent="0.25">
      <c r="B523" s="2" t="s">
        <v>0</v>
      </c>
      <c r="C523" s="144" t="s">
        <v>202</v>
      </c>
      <c r="D523" s="145"/>
      <c r="E523" s="146" t="s">
        <v>1</v>
      </c>
      <c r="F523" s="147"/>
      <c r="G523" s="11">
        <v>140</v>
      </c>
      <c r="H523" s="158" t="s">
        <v>2</v>
      </c>
      <c r="I523" s="149"/>
      <c r="J523" s="150"/>
      <c r="K523" s="13">
        <v>140</v>
      </c>
      <c r="L523" s="3"/>
      <c r="M523" s="80" t="s">
        <v>11</v>
      </c>
      <c r="N523" s="98">
        <v>45759</v>
      </c>
    </row>
    <row r="524" spans="2:14" ht="15.75" x14ac:dyDescent="0.25">
      <c r="B524" s="4" t="s">
        <v>3</v>
      </c>
      <c r="C524" s="10">
        <v>30405</v>
      </c>
      <c r="D524" s="159" t="s">
        <v>57</v>
      </c>
      <c r="E524" s="152"/>
      <c r="F524" s="153"/>
      <c r="G524" s="18">
        <v>8210</v>
      </c>
      <c r="H524" s="157" t="s">
        <v>4</v>
      </c>
      <c r="I524" s="155"/>
      <c r="J524" s="156"/>
      <c r="K524" s="113">
        <v>60</v>
      </c>
      <c r="L524" s="15"/>
      <c r="M524" s="15"/>
      <c r="N524" s="16"/>
    </row>
    <row r="525" spans="2:14" ht="15.75" x14ac:dyDescent="0.25">
      <c r="B525" s="4" t="s">
        <v>5</v>
      </c>
      <c r="C525" s="19">
        <v>65</v>
      </c>
      <c r="D525" s="159" t="s">
        <v>8</v>
      </c>
      <c r="E525" s="152"/>
      <c r="F525" s="153"/>
      <c r="G525" s="17">
        <v>0.28000000000000003</v>
      </c>
      <c r="H525" s="157" t="s">
        <v>254</v>
      </c>
      <c r="I525" s="155"/>
      <c r="J525" s="156"/>
      <c r="K525" s="12">
        <v>0.92</v>
      </c>
      <c r="L525" s="157" t="s">
        <v>6</v>
      </c>
      <c r="M525" s="156"/>
      <c r="N525" s="20">
        <v>3.02</v>
      </c>
    </row>
    <row r="526" spans="2:14" ht="16.5" thickBot="1" x14ac:dyDescent="0.3">
      <c r="B526" s="5"/>
      <c r="C526" s="9"/>
      <c r="D526" s="9"/>
      <c r="E526" s="9"/>
      <c r="F526" s="9"/>
      <c r="G526" s="9"/>
      <c r="H526" s="79"/>
      <c r="I526" s="21"/>
      <c r="J526" s="21"/>
      <c r="K526" s="21"/>
      <c r="L526" s="21"/>
      <c r="M526" s="21"/>
      <c r="N526" s="6"/>
    </row>
    <row r="527" spans="2:14" ht="15.75" x14ac:dyDescent="0.25">
      <c r="B527" s="7" t="s">
        <v>7</v>
      </c>
      <c r="C527" s="1">
        <v>1</v>
      </c>
      <c r="D527" s="1">
        <v>2</v>
      </c>
      <c r="E527" s="1">
        <v>3</v>
      </c>
      <c r="F527" s="1">
        <v>4</v>
      </c>
      <c r="G527" s="1">
        <v>5</v>
      </c>
      <c r="H527" s="77">
        <v>6</v>
      </c>
      <c r="I527" s="160" t="s">
        <v>295</v>
      </c>
      <c r="J527" s="161"/>
      <c r="K527" s="161"/>
      <c r="L527" s="161"/>
      <c r="M527" s="161"/>
      <c r="N527" s="162"/>
    </row>
    <row r="528" spans="2:14" ht="47.25" x14ac:dyDescent="0.25">
      <c r="B528" s="143" t="s">
        <v>10</v>
      </c>
      <c r="C528" s="19">
        <v>41</v>
      </c>
      <c r="D528" s="19">
        <v>43</v>
      </c>
      <c r="E528" s="19">
        <v>40</v>
      </c>
      <c r="F528" s="19">
        <v>41</v>
      </c>
      <c r="G528" s="19">
        <v>42</v>
      </c>
      <c r="H528" s="95">
        <v>41</v>
      </c>
      <c r="I528" s="163"/>
      <c r="J528" s="164"/>
      <c r="K528" s="164"/>
      <c r="L528" s="164"/>
      <c r="M528" s="164"/>
      <c r="N528" s="165"/>
    </row>
    <row r="529" spans="2:14" ht="16.5" thickBot="1" x14ac:dyDescent="0.3">
      <c r="B529" s="94" t="s">
        <v>12</v>
      </c>
      <c r="C529" s="93">
        <v>102</v>
      </c>
      <c r="D529" s="93">
        <v>131</v>
      </c>
      <c r="E529" s="93">
        <v>95</v>
      </c>
      <c r="F529" s="93">
        <v>96</v>
      </c>
      <c r="G529" s="93">
        <v>108</v>
      </c>
      <c r="H529" s="97">
        <v>104</v>
      </c>
      <c r="I529" s="166"/>
      <c r="J529" s="167"/>
      <c r="K529" s="167"/>
      <c r="L529" s="167"/>
      <c r="M529" s="167"/>
      <c r="N529" s="168"/>
    </row>
    <row r="530" spans="2:14" ht="15.75" thickBot="1" x14ac:dyDescent="0.3"/>
    <row r="531" spans="2:14" ht="15.75" x14ac:dyDescent="0.25">
      <c r="B531" s="2" t="s">
        <v>0</v>
      </c>
      <c r="C531" s="144" t="s">
        <v>202</v>
      </c>
      <c r="D531" s="145"/>
      <c r="E531" s="146" t="s">
        <v>1</v>
      </c>
      <c r="F531" s="147"/>
      <c r="G531" s="11">
        <v>140</v>
      </c>
      <c r="H531" s="158" t="s">
        <v>2</v>
      </c>
      <c r="I531" s="149"/>
      <c r="J531" s="150"/>
      <c r="K531" s="13">
        <v>140</v>
      </c>
      <c r="L531" s="3"/>
      <c r="M531" s="80" t="s">
        <v>11</v>
      </c>
      <c r="N531" s="98">
        <v>45766</v>
      </c>
    </row>
    <row r="532" spans="2:14" ht="15.75" x14ac:dyDescent="0.25">
      <c r="B532" s="4" t="s">
        <v>3</v>
      </c>
      <c r="C532" s="10">
        <v>30573</v>
      </c>
      <c r="D532" s="159" t="s">
        <v>57</v>
      </c>
      <c r="E532" s="152"/>
      <c r="F532" s="153"/>
      <c r="G532" s="18">
        <v>9242</v>
      </c>
      <c r="H532" s="157" t="s">
        <v>4</v>
      </c>
      <c r="I532" s="155"/>
      <c r="J532" s="156"/>
      <c r="K532" s="113">
        <v>61</v>
      </c>
      <c r="L532" s="15"/>
      <c r="M532" s="15"/>
      <c r="N532" s="16"/>
    </row>
    <row r="533" spans="2:14" ht="15.75" x14ac:dyDescent="0.25">
      <c r="B533" s="4" t="s">
        <v>5</v>
      </c>
      <c r="C533" s="19">
        <v>79</v>
      </c>
      <c r="D533" s="159" t="s">
        <v>8</v>
      </c>
      <c r="E533" s="152"/>
      <c r="F533" s="153"/>
      <c r="G533" s="17">
        <v>0.28000000000000003</v>
      </c>
      <c r="H533" s="157" t="s">
        <v>254</v>
      </c>
      <c r="I533" s="155"/>
      <c r="J533" s="156"/>
      <c r="K533" s="12">
        <v>0.92</v>
      </c>
      <c r="L533" s="157" t="s">
        <v>6</v>
      </c>
      <c r="M533" s="156"/>
      <c r="N533" s="20">
        <v>3.02</v>
      </c>
    </row>
    <row r="534" spans="2:14" ht="16.5" thickBot="1" x14ac:dyDescent="0.3">
      <c r="B534" s="5"/>
      <c r="C534" s="9"/>
      <c r="D534" s="9"/>
      <c r="E534" s="9"/>
      <c r="F534" s="9"/>
      <c r="G534" s="9"/>
      <c r="H534" s="79"/>
      <c r="I534" s="21"/>
      <c r="J534" s="21"/>
      <c r="K534" s="21"/>
      <c r="L534" s="21"/>
      <c r="M534" s="21"/>
      <c r="N534" s="6"/>
    </row>
    <row r="535" spans="2:14" ht="15.75" x14ac:dyDescent="0.25">
      <c r="B535" s="7" t="s">
        <v>7</v>
      </c>
      <c r="C535" s="1">
        <v>1</v>
      </c>
      <c r="D535" s="1">
        <v>2</v>
      </c>
      <c r="E535" s="1">
        <v>3</v>
      </c>
      <c r="F535" s="1">
        <v>4</v>
      </c>
      <c r="G535" s="1">
        <v>5</v>
      </c>
      <c r="H535" s="77">
        <v>6</v>
      </c>
      <c r="I535" s="160" t="s">
        <v>296</v>
      </c>
      <c r="J535" s="161"/>
      <c r="K535" s="161"/>
      <c r="L535" s="161"/>
      <c r="M535" s="161"/>
      <c r="N535" s="162"/>
    </row>
    <row r="536" spans="2:14" ht="47.25" x14ac:dyDescent="0.25">
      <c r="B536" s="143" t="s">
        <v>10</v>
      </c>
      <c r="C536" s="19">
        <v>41</v>
      </c>
      <c r="D536" s="19">
        <v>43</v>
      </c>
      <c r="E536" s="19">
        <v>40</v>
      </c>
      <c r="F536" s="19">
        <v>41</v>
      </c>
      <c r="G536" s="19">
        <v>42</v>
      </c>
      <c r="H536" s="95">
        <v>41</v>
      </c>
      <c r="I536" s="163"/>
      <c r="J536" s="164"/>
      <c r="K536" s="164"/>
      <c r="L536" s="164"/>
      <c r="M536" s="164"/>
      <c r="N536" s="165"/>
    </row>
    <row r="537" spans="2:14" ht="16.5" thickBot="1" x14ac:dyDescent="0.3">
      <c r="B537" s="94" t="s">
        <v>12</v>
      </c>
      <c r="C537" s="93">
        <v>77</v>
      </c>
      <c r="D537" s="93">
        <v>95</v>
      </c>
      <c r="E537" s="93">
        <v>52</v>
      </c>
      <c r="F537" s="93">
        <v>53</v>
      </c>
      <c r="G537" s="93">
        <v>68</v>
      </c>
      <c r="H537" s="97">
        <v>66</v>
      </c>
      <c r="I537" s="166"/>
      <c r="J537" s="167"/>
      <c r="K537" s="167"/>
      <c r="L537" s="167"/>
      <c r="M537" s="167"/>
      <c r="N537" s="168"/>
    </row>
    <row r="538" spans="2:14" ht="15.75" thickBot="1" x14ac:dyDescent="0.3"/>
    <row r="539" spans="2:14" ht="15.75" x14ac:dyDescent="0.25">
      <c r="B539" s="2" t="s">
        <v>0</v>
      </c>
      <c r="C539" s="144" t="s">
        <v>202</v>
      </c>
      <c r="D539" s="145"/>
      <c r="E539" s="146" t="s">
        <v>1</v>
      </c>
      <c r="F539" s="147"/>
      <c r="G539" s="11">
        <v>140</v>
      </c>
      <c r="H539" s="158" t="s">
        <v>2</v>
      </c>
      <c r="I539" s="149"/>
      <c r="J539" s="150"/>
      <c r="K539" s="13">
        <v>140</v>
      </c>
      <c r="L539" s="3"/>
      <c r="M539" s="80" t="s">
        <v>11</v>
      </c>
      <c r="N539" s="98">
        <v>45773</v>
      </c>
    </row>
    <row r="540" spans="2:14" ht="15.75" x14ac:dyDescent="0.25">
      <c r="B540" s="4" t="s">
        <v>3</v>
      </c>
      <c r="C540" s="10">
        <v>30685</v>
      </c>
      <c r="D540" s="159" t="s">
        <v>57</v>
      </c>
      <c r="E540" s="152"/>
      <c r="F540" s="153"/>
      <c r="G540" s="18">
        <v>9242</v>
      </c>
      <c r="H540" s="157" t="s">
        <v>4</v>
      </c>
      <c r="I540" s="155"/>
      <c r="J540" s="156"/>
      <c r="K540" s="113">
        <v>61</v>
      </c>
      <c r="L540" s="15"/>
      <c r="M540" s="15"/>
      <c r="N540" s="16"/>
    </row>
    <row r="541" spans="2:14" ht="15.75" x14ac:dyDescent="0.25">
      <c r="B541" s="4" t="s">
        <v>5</v>
      </c>
      <c r="C541" s="19">
        <v>79</v>
      </c>
      <c r="D541" s="159" t="s">
        <v>8</v>
      </c>
      <c r="E541" s="152"/>
      <c r="F541" s="153"/>
      <c r="G541" s="17">
        <v>0.28000000000000003</v>
      </c>
      <c r="H541" s="157" t="s">
        <v>254</v>
      </c>
      <c r="I541" s="155"/>
      <c r="J541" s="156"/>
      <c r="K541" s="12">
        <v>0.92</v>
      </c>
      <c r="L541" s="157" t="s">
        <v>6</v>
      </c>
      <c r="M541" s="156"/>
      <c r="N541" s="20">
        <v>3.02</v>
      </c>
    </row>
    <row r="542" spans="2:14" ht="16.5" thickBot="1" x14ac:dyDescent="0.3">
      <c r="B542" s="5"/>
      <c r="C542" s="9"/>
      <c r="D542" s="9"/>
      <c r="E542" s="9"/>
      <c r="F542" s="9"/>
      <c r="G542" s="9"/>
      <c r="H542" s="79"/>
      <c r="I542" s="21"/>
      <c r="J542" s="21"/>
      <c r="K542" s="21"/>
      <c r="L542" s="21"/>
      <c r="M542" s="21"/>
      <c r="N542" s="6"/>
    </row>
    <row r="543" spans="2:14" ht="15.75" x14ac:dyDescent="0.25">
      <c r="B543" s="7" t="s">
        <v>7</v>
      </c>
      <c r="C543" s="1">
        <v>1</v>
      </c>
      <c r="D543" s="1">
        <v>2</v>
      </c>
      <c r="E543" s="1">
        <v>3</v>
      </c>
      <c r="F543" s="1">
        <v>4</v>
      </c>
      <c r="G543" s="1">
        <v>5</v>
      </c>
      <c r="H543" s="77">
        <v>6</v>
      </c>
      <c r="I543" s="160" t="s">
        <v>297</v>
      </c>
      <c r="J543" s="161"/>
      <c r="K543" s="161"/>
      <c r="L543" s="161"/>
      <c r="M543" s="161"/>
      <c r="N543" s="162"/>
    </row>
    <row r="544" spans="2:14" ht="47.25" x14ac:dyDescent="0.25">
      <c r="B544" s="143" t="s">
        <v>10</v>
      </c>
      <c r="C544" s="19"/>
      <c r="D544" s="19"/>
      <c r="E544" s="19"/>
      <c r="F544" s="19"/>
      <c r="G544" s="19"/>
      <c r="H544" s="95"/>
      <c r="I544" s="163"/>
      <c r="J544" s="164"/>
      <c r="K544" s="164"/>
      <c r="L544" s="164"/>
      <c r="M544" s="164"/>
      <c r="N544" s="165"/>
    </row>
    <row r="545" spans="2:14" ht="16.5" thickBot="1" x14ac:dyDescent="0.3">
      <c r="B545" s="94" t="s">
        <v>12</v>
      </c>
      <c r="C545" s="93"/>
      <c r="D545" s="93"/>
      <c r="E545" s="93"/>
      <c r="F545" s="93"/>
      <c r="G545" s="93"/>
      <c r="H545" s="97"/>
      <c r="I545" s="166"/>
      <c r="J545" s="167"/>
      <c r="K545" s="167"/>
      <c r="L545" s="167"/>
      <c r="M545" s="167"/>
      <c r="N545" s="168"/>
    </row>
    <row r="546" spans="2:14" ht="15.75" thickBot="1" x14ac:dyDescent="0.3"/>
    <row r="547" spans="2:14" ht="15.75" x14ac:dyDescent="0.25">
      <c r="B547" s="2" t="s">
        <v>0</v>
      </c>
      <c r="C547" s="144" t="s">
        <v>202</v>
      </c>
      <c r="D547" s="145"/>
      <c r="E547" s="146" t="s">
        <v>1</v>
      </c>
      <c r="F547" s="147"/>
      <c r="G547" s="11">
        <v>140</v>
      </c>
      <c r="H547" s="158" t="s">
        <v>2</v>
      </c>
      <c r="I547" s="149"/>
      <c r="J547" s="150"/>
      <c r="K547" s="13">
        <v>140</v>
      </c>
      <c r="L547" s="3"/>
      <c r="M547" s="80" t="s">
        <v>11</v>
      </c>
      <c r="N547" s="98">
        <v>45787</v>
      </c>
    </row>
    <row r="548" spans="2:14" ht="15.75" x14ac:dyDescent="0.25">
      <c r="B548" s="4" t="s">
        <v>3</v>
      </c>
      <c r="C548" s="10">
        <v>30854</v>
      </c>
      <c r="D548" s="159" t="s">
        <v>57</v>
      </c>
      <c r="E548" s="152"/>
      <c r="F548" s="153"/>
      <c r="G548" s="18"/>
      <c r="H548" s="157" t="s">
        <v>4</v>
      </c>
      <c r="I548" s="155"/>
      <c r="J548" s="156"/>
      <c r="K548" s="113">
        <v>61</v>
      </c>
      <c r="L548" s="15"/>
      <c r="M548" s="15"/>
      <c r="N548" s="16"/>
    </row>
    <row r="549" spans="2:14" ht="15.75" x14ac:dyDescent="0.25">
      <c r="B549" s="4" t="s">
        <v>5</v>
      </c>
      <c r="C549" s="19">
        <v>79</v>
      </c>
      <c r="D549" s="159" t="s">
        <v>8</v>
      </c>
      <c r="E549" s="152"/>
      <c r="F549" s="153"/>
      <c r="G549" s="17">
        <v>0.28000000000000003</v>
      </c>
      <c r="H549" s="157" t="s">
        <v>254</v>
      </c>
      <c r="I549" s="155"/>
      <c r="J549" s="156"/>
      <c r="K549" s="12">
        <v>0.92</v>
      </c>
      <c r="L549" s="157" t="s">
        <v>6</v>
      </c>
      <c r="M549" s="156"/>
      <c r="N549" s="20">
        <v>3.02</v>
      </c>
    </row>
    <row r="550" spans="2:14" ht="16.5" thickBot="1" x14ac:dyDescent="0.3">
      <c r="B550" s="5"/>
      <c r="C550" s="9"/>
      <c r="D550" s="9"/>
      <c r="E550" s="9"/>
      <c r="F550" s="9"/>
      <c r="G550" s="9"/>
      <c r="H550" s="79"/>
      <c r="I550" s="21"/>
      <c r="J550" s="21"/>
      <c r="K550" s="21"/>
      <c r="L550" s="21"/>
      <c r="M550" s="21"/>
      <c r="N550" s="6"/>
    </row>
    <row r="551" spans="2:14" ht="15.75" x14ac:dyDescent="0.25">
      <c r="B551" s="7" t="s">
        <v>7</v>
      </c>
      <c r="C551" s="1">
        <v>1</v>
      </c>
      <c r="D551" s="1">
        <v>2</v>
      </c>
      <c r="E551" s="1">
        <v>3</v>
      </c>
      <c r="F551" s="1">
        <v>4</v>
      </c>
      <c r="G551" s="1">
        <v>5</v>
      </c>
      <c r="H551" s="77">
        <v>6</v>
      </c>
      <c r="I551" s="160" t="s">
        <v>298</v>
      </c>
      <c r="J551" s="161"/>
      <c r="K551" s="161"/>
      <c r="L551" s="161"/>
      <c r="M551" s="161"/>
      <c r="N551" s="162"/>
    </row>
    <row r="552" spans="2:14" ht="47.25" x14ac:dyDescent="0.25">
      <c r="B552" s="143" t="s">
        <v>10</v>
      </c>
      <c r="C552" s="19"/>
      <c r="D552" s="19"/>
      <c r="E552" s="19"/>
      <c r="F552" s="19"/>
      <c r="G552" s="19"/>
      <c r="H552" s="95"/>
      <c r="I552" s="163"/>
      <c r="J552" s="164"/>
      <c r="K552" s="164"/>
      <c r="L552" s="164"/>
      <c r="M552" s="164"/>
      <c r="N552" s="165"/>
    </row>
    <row r="553" spans="2:14" ht="16.5" thickBot="1" x14ac:dyDescent="0.3">
      <c r="B553" s="94" t="s">
        <v>12</v>
      </c>
      <c r="C553" s="93"/>
      <c r="D553" s="93"/>
      <c r="E553" s="93"/>
      <c r="F553" s="93"/>
      <c r="G553" s="93"/>
      <c r="H553" s="97"/>
      <c r="I553" s="166"/>
      <c r="J553" s="167"/>
      <c r="K553" s="167"/>
      <c r="L553" s="167"/>
      <c r="M553" s="167"/>
      <c r="N553" s="168"/>
    </row>
    <row r="554" spans="2:14" ht="15.75" thickBot="1" x14ac:dyDescent="0.3"/>
    <row r="555" spans="2:14" ht="15.75" x14ac:dyDescent="0.25">
      <c r="B555" s="2" t="s">
        <v>0</v>
      </c>
      <c r="C555" s="144" t="s">
        <v>202</v>
      </c>
      <c r="D555" s="145"/>
      <c r="E555" s="146" t="s">
        <v>1</v>
      </c>
      <c r="F555" s="147"/>
      <c r="G555" s="11">
        <v>140</v>
      </c>
      <c r="H555" s="158" t="s">
        <v>2</v>
      </c>
      <c r="I555" s="149"/>
      <c r="J555" s="150"/>
      <c r="K555" s="13">
        <v>140</v>
      </c>
      <c r="L555" s="3"/>
      <c r="M555" s="80" t="s">
        <v>11</v>
      </c>
      <c r="N555" s="98">
        <v>45815</v>
      </c>
    </row>
    <row r="556" spans="2:14" ht="15.75" x14ac:dyDescent="0.25">
      <c r="B556" s="4" t="s">
        <v>3</v>
      </c>
      <c r="C556" s="10">
        <v>30910.6</v>
      </c>
      <c r="D556" s="159" t="s">
        <v>57</v>
      </c>
      <c r="E556" s="152"/>
      <c r="F556" s="153"/>
      <c r="G556" s="18"/>
      <c r="H556" s="157" t="s">
        <v>4</v>
      </c>
      <c r="I556" s="155"/>
      <c r="J556" s="156"/>
      <c r="K556" s="113">
        <v>0</v>
      </c>
      <c r="L556" s="15"/>
      <c r="M556" s="15"/>
      <c r="N556" s="16"/>
    </row>
    <row r="557" spans="2:14" ht="15.75" x14ac:dyDescent="0.25">
      <c r="B557" s="4" t="s">
        <v>5</v>
      </c>
      <c r="C557" s="19">
        <v>79</v>
      </c>
      <c r="D557" s="159" t="s">
        <v>8</v>
      </c>
      <c r="E557" s="152"/>
      <c r="F557" s="153"/>
      <c r="G557" s="17">
        <v>0.28000000000000003</v>
      </c>
      <c r="H557" s="157" t="s">
        <v>254</v>
      </c>
      <c r="I557" s="155"/>
      <c r="J557" s="156"/>
      <c r="K557" s="12">
        <v>0.92</v>
      </c>
      <c r="L557" s="157" t="s">
        <v>6</v>
      </c>
      <c r="M557" s="156"/>
      <c r="N557" s="20">
        <v>3.02</v>
      </c>
    </row>
    <row r="558" spans="2:14" ht="16.5" thickBot="1" x14ac:dyDescent="0.3">
      <c r="B558" s="5"/>
      <c r="C558" s="9"/>
      <c r="D558" s="9"/>
      <c r="E558" s="9"/>
      <c r="F558" s="9"/>
      <c r="G558" s="9"/>
      <c r="H558" s="79"/>
      <c r="I558" s="21"/>
      <c r="J558" s="21"/>
      <c r="K558" s="21"/>
      <c r="L558" s="21"/>
      <c r="M558" s="21"/>
      <c r="N558" s="6"/>
    </row>
    <row r="559" spans="2:14" ht="15.75" x14ac:dyDescent="0.25">
      <c r="B559" s="7" t="s">
        <v>7</v>
      </c>
      <c r="C559" s="1">
        <v>1</v>
      </c>
      <c r="D559" s="1">
        <v>2</v>
      </c>
      <c r="E559" s="1">
        <v>3</v>
      </c>
      <c r="F559" s="1">
        <v>4</v>
      </c>
      <c r="G559" s="1">
        <v>5</v>
      </c>
      <c r="H559" s="77">
        <v>6</v>
      </c>
      <c r="I559" s="160" t="s">
        <v>299</v>
      </c>
      <c r="J559" s="161"/>
      <c r="K559" s="161"/>
      <c r="L559" s="161"/>
      <c r="M559" s="161"/>
      <c r="N559" s="162"/>
    </row>
    <row r="560" spans="2:14" ht="47.25" x14ac:dyDescent="0.25">
      <c r="B560" s="143" t="s">
        <v>10</v>
      </c>
      <c r="C560" s="19"/>
      <c r="D560" s="19"/>
      <c r="E560" s="19"/>
      <c r="F560" s="19"/>
      <c r="G560" s="19"/>
      <c r="H560" s="95"/>
      <c r="I560" s="163"/>
      <c r="J560" s="164"/>
      <c r="K560" s="164"/>
      <c r="L560" s="164"/>
      <c r="M560" s="164"/>
      <c r="N560" s="165"/>
    </row>
    <row r="561" spans="2:14" ht="16.5" thickBot="1" x14ac:dyDescent="0.3">
      <c r="B561" s="94" t="s">
        <v>12</v>
      </c>
      <c r="C561" s="93"/>
      <c r="D561" s="93"/>
      <c r="E561" s="93"/>
      <c r="F561" s="93"/>
      <c r="G561" s="93"/>
      <c r="H561" s="97"/>
      <c r="I561" s="166"/>
      <c r="J561" s="167"/>
      <c r="K561" s="167"/>
      <c r="L561" s="167"/>
      <c r="M561" s="167"/>
      <c r="N561" s="168"/>
    </row>
    <row r="562" spans="2:14" ht="15.75" thickBot="1" x14ac:dyDescent="0.3"/>
    <row r="563" spans="2:14" ht="15.75" x14ac:dyDescent="0.25">
      <c r="B563" s="2" t="s">
        <v>0</v>
      </c>
      <c r="C563" s="144" t="s">
        <v>202</v>
      </c>
      <c r="D563" s="145"/>
      <c r="E563" s="146" t="s">
        <v>1</v>
      </c>
      <c r="F563" s="147"/>
      <c r="G563" s="11">
        <v>140</v>
      </c>
      <c r="H563" s="158" t="s">
        <v>2</v>
      </c>
      <c r="I563" s="149"/>
      <c r="J563" s="150"/>
      <c r="K563" s="13">
        <v>140</v>
      </c>
      <c r="L563" s="3"/>
      <c r="M563" s="80" t="s">
        <v>11</v>
      </c>
      <c r="N563" s="98">
        <v>45822</v>
      </c>
    </row>
    <row r="564" spans="2:14" ht="15.75" x14ac:dyDescent="0.25">
      <c r="B564" s="4" t="s">
        <v>3</v>
      </c>
      <c r="C564" s="10">
        <v>30912</v>
      </c>
      <c r="D564" s="159" t="s">
        <v>57</v>
      </c>
      <c r="E564" s="152"/>
      <c r="F564" s="153"/>
      <c r="G564" s="18"/>
      <c r="H564" s="157" t="s">
        <v>4</v>
      </c>
      <c r="I564" s="155"/>
      <c r="J564" s="156"/>
      <c r="K564" s="113">
        <v>0</v>
      </c>
      <c r="L564" s="15"/>
      <c r="M564" s="15"/>
      <c r="N564" s="16"/>
    </row>
    <row r="565" spans="2:14" ht="15.75" x14ac:dyDescent="0.25">
      <c r="B565" s="4" t="s">
        <v>5</v>
      </c>
      <c r="C565" s="19">
        <v>79</v>
      </c>
      <c r="D565" s="159" t="s">
        <v>8</v>
      </c>
      <c r="E565" s="152"/>
      <c r="F565" s="153"/>
      <c r="G565" s="17">
        <v>0.28000000000000003</v>
      </c>
      <c r="H565" s="157" t="s">
        <v>254</v>
      </c>
      <c r="I565" s="155"/>
      <c r="J565" s="156"/>
      <c r="K565" s="12">
        <v>0.92</v>
      </c>
      <c r="L565" s="157" t="s">
        <v>6</v>
      </c>
      <c r="M565" s="156"/>
      <c r="N565" s="20">
        <v>3.02</v>
      </c>
    </row>
    <row r="566" spans="2:14" ht="16.5" thickBot="1" x14ac:dyDescent="0.3">
      <c r="B566" s="5"/>
      <c r="C566" s="9"/>
      <c r="D566" s="9"/>
      <c r="E566" s="9"/>
      <c r="F566" s="9"/>
      <c r="G566" s="9"/>
      <c r="H566" s="79"/>
      <c r="I566" s="21"/>
      <c r="J566" s="21"/>
      <c r="K566" s="21"/>
      <c r="L566" s="21"/>
      <c r="M566" s="21"/>
      <c r="N566" s="6"/>
    </row>
    <row r="567" spans="2:14" ht="15.75" x14ac:dyDescent="0.25">
      <c r="B567" s="7" t="s">
        <v>7</v>
      </c>
      <c r="C567" s="1">
        <v>1</v>
      </c>
      <c r="D567" s="1">
        <v>2</v>
      </c>
      <c r="E567" s="1">
        <v>3</v>
      </c>
      <c r="F567" s="1">
        <v>4</v>
      </c>
      <c r="G567" s="1">
        <v>5</v>
      </c>
      <c r="H567" s="77">
        <v>6</v>
      </c>
      <c r="I567" s="160" t="s">
        <v>300</v>
      </c>
      <c r="J567" s="161"/>
      <c r="K567" s="161"/>
      <c r="L567" s="161"/>
      <c r="M567" s="161"/>
      <c r="N567" s="162"/>
    </row>
    <row r="568" spans="2:14" ht="47.25" x14ac:dyDescent="0.25">
      <c r="B568" s="143" t="s">
        <v>10</v>
      </c>
      <c r="C568" s="19"/>
      <c r="D568" s="19"/>
      <c r="E568" s="19"/>
      <c r="F568" s="19"/>
      <c r="G568" s="19"/>
      <c r="H568" s="95"/>
      <c r="I568" s="163"/>
      <c r="J568" s="164"/>
      <c r="K568" s="164"/>
      <c r="L568" s="164"/>
      <c r="M568" s="164"/>
      <c r="N568" s="165"/>
    </row>
    <row r="569" spans="2:14" ht="16.5" thickBot="1" x14ac:dyDescent="0.3">
      <c r="B569" s="94" t="s">
        <v>12</v>
      </c>
      <c r="C569" s="93"/>
      <c r="D569" s="93"/>
      <c r="E569" s="93"/>
      <c r="F569" s="93"/>
      <c r="G569" s="93"/>
      <c r="H569" s="97"/>
      <c r="I569" s="166"/>
      <c r="J569" s="167"/>
      <c r="K569" s="167"/>
      <c r="L569" s="167"/>
      <c r="M569" s="167"/>
      <c r="N569" s="168"/>
    </row>
    <row r="570" spans="2:14" ht="15.75" thickBot="1" x14ac:dyDescent="0.3"/>
    <row r="571" spans="2:14" ht="15.75" x14ac:dyDescent="0.25">
      <c r="B571" s="2" t="s">
        <v>0</v>
      </c>
      <c r="C571" s="144" t="s">
        <v>202</v>
      </c>
      <c r="D571" s="145"/>
      <c r="E571" s="146" t="s">
        <v>1</v>
      </c>
      <c r="F571" s="147"/>
      <c r="G571" s="11">
        <v>140</v>
      </c>
      <c r="H571" s="158" t="s">
        <v>2</v>
      </c>
      <c r="I571" s="149"/>
      <c r="J571" s="150"/>
      <c r="K571" s="13">
        <v>140</v>
      </c>
      <c r="L571" s="3"/>
      <c r="M571" s="80" t="s">
        <v>11</v>
      </c>
      <c r="N571" s="98">
        <v>45829</v>
      </c>
    </row>
    <row r="572" spans="2:14" ht="15.75" x14ac:dyDescent="0.25">
      <c r="B572" s="4" t="s">
        <v>3</v>
      </c>
      <c r="C572" s="10">
        <v>31018</v>
      </c>
      <c r="D572" s="159" t="s">
        <v>57</v>
      </c>
      <c r="E572" s="152"/>
      <c r="F572" s="153"/>
      <c r="G572" s="18">
        <v>8200</v>
      </c>
      <c r="H572" s="157" t="s">
        <v>4</v>
      </c>
      <c r="I572" s="155"/>
      <c r="J572" s="156"/>
      <c r="K572" s="113">
        <v>60</v>
      </c>
      <c r="L572" s="15"/>
      <c r="M572" s="15"/>
      <c r="N572" s="16"/>
    </row>
    <row r="573" spans="2:14" ht="15.75" x14ac:dyDescent="0.25">
      <c r="B573" s="4" t="s">
        <v>5</v>
      </c>
      <c r="C573" s="19">
        <v>72</v>
      </c>
      <c r="D573" s="159" t="s">
        <v>8</v>
      </c>
      <c r="E573" s="152"/>
      <c r="F573" s="153"/>
      <c r="G573" s="17">
        <v>0.28000000000000003</v>
      </c>
      <c r="H573" s="157" t="s">
        <v>254</v>
      </c>
      <c r="I573" s="155"/>
      <c r="J573" s="156"/>
      <c r="K573" s="12">
        <v>0.92</v>
      </c>
      <c r="L573" s="157" t="s">
        <v>6</v>
      </c>
      <c r="M573" s="156"/>
      <c r="N573" s="20">
        <v>3.02</v>
      </c>
    </row>
    <row r="574" spans="2:14" ht="16.5" thickBot="1" x14ac:dyDescent="0.3">
      <c r="B574" s="5"/>
      <c r="C574" s="9"/>
      <c r="D574" s="9"/>
      <c r="E574" s="9"/>
      <c r="F574" s="9"/>
      <c r="G574" s="9"/>
      <c r="H574" s="79"/>
      <c r="I574" s="21"/>
      <c r="J574" s="21"/>
      <c r="K574" s="21"/>
      <c r="L574" s="21"/>
      <c r="M574" s="21"/>
      <c r="N574" s="6"/>
    </row>
    <row r="575" spans="2:14" ht="15.75" customHeight="1" x14ac:dyDescent="0.25">
      <c r="B575" s="7" t="s">
        <v>7</v>
      </c>
      <c r="C575" s="1">
        <v>1</v>
      </c>
      <c r="D575" s="1">
        <v>2</v>
      </c>
      <c r="E575" s="1">
        <v>3</v>
      </c>
      <c r="F575" s="1">
        <v>4</v>
      </c>
      <c r="G575" s="1">
        <v>5</v>
      </c>
      <c r="H575" s="77">
        <v>6</v>
      </c>
      <c r="I575" s="160" t="s">
        <v>301</v>
      </c>
      <c r="J575" s="161"/>
      <c r="K575" s="161"/>
      <c r="L575" s="161"/>
      <c r="M575" s="161"/>
      <c r="N575" s="162"/>
    </row>
    <row r="576" spans="2:14" ht="47.25" x14ac:dyDescent="0.25">
      <c r="B576" s="143" t="s">
        <v>10</v>
      </c>
      <c r="C576" s="19">
        <v>41</v>
      </c>
      <c r="D576" s="19">
        <v>43</v>
      </c>
      <c r="E576" s="19">
        <v>40</v>
      </c>
      <c r="F576" s="19">
        <v>41</v>
      </c>
      <c r="G576" s="19">
        <v>42</v>
      </c>
      <c r="H576" s="95">
        <v>41</v>
      </c>
      <c r="I576" s="163"/>
      <c r="J576" s="164"/>
      <c r="K576" s="164"/>
      <c r="L576" s="164"/>
      <c r="M576" s="164"/>
      <c r="N576" s="165"/>
    </row>
    <row r="577" spans="2:14" ht="16.5" thickBot="1" x14ac:dyDescent="0.3">
      <c r="B577" s="94" t="s">
        <v>12</v>
      </c>
      <c r="C577" s="93">
        <v>77</v>
      </c>
      <c r="D577" s="93">
        <v>95</v>
      </c>
      <c r="E577" s="93">
        <v>52</v>
      </c>
      <c r="F577" s="93">
        <v>53</v>
      </c>
      <c r="G577" s="93">
        <v>68</v>
      </c>
      <c r="H577" s="97">
        <v>66</v>
      </c>
      <c r="I577" s="166"/>
      <c r="J577" s="167"/>
      <c r="K577" s="167"/>
      <c r="L577" s="167"/>
      <c r="M577" s="167"/>
      <c r="N577" s="168"/>
    </row>
    <row r="578" spans="2:14" ht="15.75" thickBot="1" x14ac:dyDescent="0.3"/>
    <row r="579" spans="2:14" ht="15.75" x14ac:dyDescent="0.25">
      <c r="B579" s="2" t="s">
        <v>0</v>
      </c>
      <c r="C579" s="144" t="s">
        <v>202</v>
      </c>
      <c r="D579" s="145"/>
      <c r="E579" s="146" t="s">
        <v>1</v>
      </c>
      <c r="F579" s="147"/>
      <c r="G579" s="11">
        <v>140</v>
      </c>
      <c r="H579" s="158" t="s">
        <v>2</v>
      </c>
      <c r="I579" s="149"/>
      <c r="J579" s="150"/>
      <c r="K579" s="13">
        <v>140</v>
      </c>
      <c r="L579" s="3"/>
      <c r="M579" s="80" t="s">
        <v>11</v>
      </c>
      <c r="N579" s="98">
        <v>45836</v>
      </c>
    </row>
    <row r="580" spans="2:14" ht="15.75" x14ac:dyDescent="0.25">
      <c r="B580" s="4" t="s">
        <v>3</v>
      </c>
      <c r="C580" s="10">
        <v>31190</v>
      </c>
      <c r="D580" s="159" t="s">
        <v>57</v>
      </c>
      <c r="E580" s="152"/>
      <c r="F580" s="153"/>
      <c r="G580" s="18">
        <v>8200</v>
      </c>
      <c r="H580" s="157" t="s">
        <v>4</v>
      </c>
      <c r="I580" s="155"/>
      <c r="J580" s="156"/>
      <c r="K580" s="113">
        <v>59</v>
      </c>
      <c r="L580" s="15"/>
      <c r="M580" s="15"/>
      <c r="N580" s="16"/>
    </row>
    <row r="581" spans="2:14" ht="15.75" x14ac:dyDescent="0.25">
      <c r="B581" s="4" t="s">
        <v>5</v>
      </c>
      <c r="C581" s="19">
        <v>72</v>
      </c>
      <c r="D581" s="159" t="s">
        <v>8</v>
      </c>
      <c r="E581" s="152"/>
      <c r="F581" s="153"/>
      <c r="G581" s="17">
        <v>0.28000000000000003</v>
      </c>
      <c r="H581" s="157" t="s">
        <v>254</v>
      </c>
      <c r="I581" s="155"/>
      <c r="J581" s="156"/>
      <c r="K581" s="12">
        <v>0.92</v>
      </c>
      <c r="L581" s="157" t="s">
        <v>6</v>
      </c>
      <c r="M581" s="156"/>
      <c r="N581" s="20">
        <v>2.74</v>
      </c>
    </row>
    <row r="582" spans="2:14" ht="16.5" thickBot="1" x14ac:dyDescent="0.3">
      <c r="B582" s="5"/>
      <c r="C582" s="9"/>
      <c r="D582" s="9"/>
      <c r="E582" s="9"/>
      <c r="F582" s="9"/>
      <c r="G582" s="9"/>
      <c r="H582" s="79"/>
      <c r="I582" s="21"/>
      <c r="J582" s="21"/>
      <c r="K582" s="21"/>
      <c r="L582" s="21"/>
      <c r="M582" s="21"/>
      <c r="N582" s="6"/>
    </row>
    <row r="583" spans="2:14" ht="15.75" x14ac:dyDescent="0.25">
      <c r="B583" s="7" t="s">
        <v>7</v>
      </c>
      <c r="C583" s="1">
        <v>1</v>
      </c>
      <c r="D583" s="1">
        <v>2</v>
      </c>
      <c r="E583" s="1">
        <v>3</v>
      </c>
      <c r="F583" s="1">
        <v>4</v>
      </c>
      <c r="G583" s="1">
        <v>5</v>
      </c>
      <c r="H583" s="77">
        <v>6</v>
      </c>
      <c r="I583" s="160" t="s">
        <v>302</v>
      </c>
      <c r="J583" s="161"/>
      <c r="K583" s="161"/>
      <c r="L583" s="161"/>
      <c r="M583" s="161"/>
      <c r="N583" s="162"/>
    </row>
    <row r="584" spans="2:14" ht="47.25" x14ac:dyDescent="0.25">
      <c r="B584" s="143" t="s">
        <v>10</v>
      </c>
      <c r="C584" s="19">
        <v>40</v>
      </c>
      <c r="D584" s="19">
        <v>43</v>
      </c>
      <c r="E584" s="19">
        <v>42</v>
      </c>
      <c r="F584" s="19">
        <v>41</v>
      </c>
      <c r="G584" s="19">
        <v>42</v>
      </c>
      <c r="H584" s="95">
        <v>41</v>
      </c>
      <c r="I584" s="163"/>
      <c r="J584" s="164"/>
      <c r="K584" s="164"/>
      <c r="L584" s="164"/>
      <c r="M584" s="164"/>
      <c r="N584" s="165"/>
    </row>
    <row r="585" spans="2:14" ht="16.5" thickBot="1" x14ac:dyDescent="0.3">
      <c r="B585" s="94" t="s">
        <v>12</v>
      </c>
      <c r="C585" s="93">
        <v>80</v>
      </c>
      <c r="D585" s="93">
        <v>95</v>
      </c>
      <c r="E585" s="93">
        <v>72</v>
      </c>
      <c r="F585" s="93">
        <v>62</v>
      </c>
      <c r="G585" s="93">
        <v>68</v>
      </c>
      <c r="H585" s="97">
        <v>66</v>
      </c>
      <c r="I585" s="166"/>
      <c r="J585" s="167"/>
      <c r="K585" s="167"/>
      <c r="L585" s="167"/>
      <c r="M585" s="167"/>
      <c r="N585" s="168"/>
    </row>
    <row r="586" spans="2:14" ht="15.75" thickBot="1" x14ac:dyDescent="0.3"/>
    <row r="587" spans="2:14" ht="15.75" x14ac:dyDescent="0.25">
      <c r="B587" s="2" t="s">
        <v>0</v>
      </c>
      <c r="C587" s="144" t="s">
        <v>202</v>
      </c>
      <c r="D587" s="145"/>
      <c r="E587" s="146" t="s">
        <v>1</v>
      </c>
      <c r="F587" s="147"/>
      <c r="G587" s="11">
        <v>140</v>
      </c>
      <c r="H587" s="158" t="s">
        <v>2</v>
      </c>
      <c r="I587" s="149"/>
      <c r="J587" s="150"/>
      <c r="K587" s="13">
        <v>140</v>
      </c>
      <c r="L587" s="3"/>
      <c r="M587" s="80" t="s">
        <v>11</v>
      </c>
      <c r="N587" s="98">
        <v>45843</v>
      </c>
    </row>
    <row r="588" spans="2:14" ht="15.75" x14ac:dyDescent="0.25">
      <c r="B588" s="4" t="s">
        <v>3</v>
      </c>
      <c r="C588" s="10">
        <v>31190</v>
      </c>
      <c r="D588" s="159" t="s">
        <v>57</v>
      </c>
      <c r="E588" s="152"/>
      <c r="F588" s="153"/>
      <c r="G588" s="18">
        <v>8200</v>
      </c>
      <c r="H588" s="157" t="s">
        <v>4</v>
      </c>
      <c r="I588" s="155"/>
      <c r="J588" s="156"/>
      <c r="K588" s="113">
        <v>59</v>
      </c>
      <c r="L588" s="15"/>
      <c r="M588" s="15"/>
      <c r="N588" s="16"/>
    </row>
    <row r="589" spans="2:14" ht="15.75" x14ac:dyDescent="0.25">
      <c r="B589" s="4" t="s">
        <v>5</v>
      </c>
      <c r="C589" s="19">
        <v>72</v>
      </c>
      <c r="D589" s="159" t="s">
        <v>8</v>
      </c>
      <c r="E589" s="152"/>
      <c r="F589" s="153"/>
      <c r="G589" s="17">
        <v>0.28000000000000003</v>
      </c>
      <c r="H589" s="157" t="s">
        <v>254</v>
      </c>
      <c r="I589" s="155"/>
      <c r="J589" s="156"/>
      <c r="K589" s="12">
        <v>0.92</v>
      </c>
      <c r="L589" s="157" t="s">
        <v>6</v>
      </c>
      <c r="M589" s="156"/>
      <c r="N589" s="20">
        <v>2.74</v>
      </c>
    </row>
    <row r="590" spans="2:14" ht="16.5" thickBot="1" x14ac:dyDescent="0.3">
      <c r="B590" s="5"/>
      <c r="C590" s="9"/>
      <c r="D590" s="9"/>
      <c r="E590" s="9"/>
      <c r="F590" s="9"/>
      <c r="G590" s="9"/>
      <c r="H590" s="79"/>
      <c r="I590" s="21"/>
      <c r="J590" s="21"/>
      <c r="K590" s="21"/>
      <c r="L590" s="21"/>
      <c r="M590" s="21"/>
      <c r="N590" s="6"/>
    </row>
    <row r="591" spans="2:14" ht="15.75" x14ac:dyDescent="0.25">
      <c r="B591" s="7" t="s">
        <v>7</v>
      </c>
      <c r="C591" s="1">
        <v>1</v>
      </c>
      <c r="D591" s="1">
        <v>2</v>
      </c>
      <c r="E591" s="1">
        <v>3</v>
      </c>
      <c r="F591" s="1">
        <v>4</v>
      </c>
      <c r="G591" s="1">
        <v>5</v>
      </c>
      <c r="H591" s="77">
        <v>6</v>
      </c>
      <c r="I591" s="160" t="s">
        <v>303</v>
      </c>
      <c r="J591" s="161"/>
      <c r="K591" s="161"/>
      <c r="L591" s="161"/>
      <c r="M591" s="161"/>
      <c r="N591" s="162"/>
    </row>
    <row r="592" spans="2:14" ht="47.25" x14ac:dyDescent="0.25">
      <c r="B592" s="143" t="s">
        <v>10</v>
      </c>
      <c r="C592" s="19"/>
      <c r="D592" s="19"/>
      <c r="E592" s="19"/>
      <c r="F592" s="19"/>
      <c r="G592" s="19"/>
      <c r="H592" s="95"/>
      <c r="I592" s="163"/>
      <c r="J592" s="164"/>
      <c r="K592" s="164"/>
      <c r="L592" s="164"/>
      <c r="M592" s="164"/>
      <c r="N592" s="165"/>
    </row>
    <row r="593" spans="2:14" ht="16.5" thickBot="1" x14ac:dyDescent="0.3">
      <c r="B593" s="94" t="s">
        <v>12</v>
      </c>
      <c r="C593" s="93"/>
      <c r="D593" s="93"/>
      <c r="E593" s="93"/>
      <c r="F593" s="93"/>
      <c r="G593" s="93"/>
      <c r="H593" s="97"/>
      <c r="I593" s="166"/>
      <c r="J593" s="167"/>
      <c r="K593" s="167"/>
      <c r="L593" s="167"/>
      <c r="M593" s="167"/>
      <c r="N593" s="168"/>
    </row>
    <row r="594" spans="2:14" ht="15.75" thickBot="1" x14ac:dyDescent="0.3"/>
    <row r="595" spans="2:14" ht="15.75" x14ac:dyDescent="0.25">
      <c r="B595" s="2" t="s">
        <v>0</v>
      </c>
      <c r="C595" s="144" t="s">
        <v>202</v>
      </c>
      <c r="D595" s="145"/>
      <c r="E595" s="146" t="s">
        <v>1</v>
      </c>
      <c r="F595" s="147"/>
      <c r="G595" s="11">
        <v>140</v>
      </c>
      <c r="H595" s="158" t="s">
        <v>2</v>
      </c>
      <c r="I595" s="149"/>
      <c r="J595" s="150"/>
      <c r="K595" s="13">
        <v>140</v>
      </c>
      <c r="L595" s="3"/>
      <c r="M595" s="80" t="s">
        <v>11</v>
      </c>
      <c r="N595" s="98">
        <v>45850</v>
      </c>
    </row>
    <row r="596" spans="2:14" ht="15.75" x14ac:dyDescent="0.25">
      <c r="B596" s="4" t="s">
        <v>3</v>
      </c>
      <c r="C596" s="10">
        <v>31466</v>
      </c>
      <c r="D596" s="159" t="s">
        <v>57</v>
      </c>
      <c r="E596" s="152"/>
      <c r="F596" s="153"/>
      <c r="G596" s="18">
        <v>8200</v>
      </c>
      <c r="H596" s="157" t="s">
        <v>4</v>
      </c>
      <c r="I596" s="155"/>
      <c r="J596" s="156"/>
      <c r="K596" s="113">
        <v>59</v>
      </c>
      <c r="L596" s="15"/>
      <c r="M596" s="15"/>
      <c r="N596" s="16"/>
    </row>
    <row r="597" spans="2:14" ht="15.75" x14ac:dyDescent="0.25">
      <c r="B597" s="4" t="s">
        <v>5</v>
      </c>
      <c r="C597" s="19">
        <v>72</v>
      </c>
      <c r="D597" s="159" t="s">
        <v>8</v>
      </c>
      <c r="E597" s="152"/>
      <c r="F597" s="153"/>
      <c r="G597" s="17">
        <v>0.28000000000000003</v>
      </c>
      <c r="H597" s="157" t="s">
        <v>254</v>
      </c>
      <c r="I597" s="155"/>
      <c r="J597" s="156"/>
      <c r="K597" s="12">
        <v>0.92</v>
      </c>
      <c r="L597" s="157" t="s">
        <v>6</v>
      </c>
      <c r="M597" s="156"/>
      <c r="N597" s="20">
        <v>2.74</v>
      </c>
    </row>
    <row r="598" spans="2:14" ht="16.5" thickBot="1" x14ac:dyDescent="0.3">
      <c r="B598" s="5"/>
      <c r="C598" s="9"/>
      <c r="D598" s="9"/>
      <c r="E598" s="9"/>
      <c r="F598" s="9"/>
      <c r="G598" s="9"/>
      <c r="H598" s="79"/>
      <c r="I598" s="21"/>
      <c r="J598" s="21"/>
      <c r="K598" s="21"/>
      <c r="L598" s="21"/>
      <c r="M598" s="21"/>
      <c r="N598" s="6"/>
    </row>
    <row r="599" spans="2:14" ht="15.75" customHeight="1" x14ac:dyDescent="0.25">
      <c r="B599" s="7" t="s">
        <v>7</v>
      </c>
      <c r="C599" s="1">
        <v>1</v>
      </c>
      <c r="D599" s="1">
        <v>2</v>
      </c>
      <c r="E599" s="1">
        <v>3</v>
      </c>
      <c r="F599" s="1">
        <v>4</v>
      </c>
      <c r="G599" s="1">
        <v>5</v>
      </c>
      <c r="H599" s="77">
        <v>6</v>
      </c>
      <c r="I599" s="160" t="s">
        <v>304</v>
      </c>
      <c r="J599" s="161"/>
      <c r="K599" s="161"/>
      <c r="L599" s="161"/>
      <c r="M599" s="161"/>
      <c r="N599" s="162"/>
    </row>
    <row r="600" spans="2:14" ht="47.25" x14ac:dyDescent="0.25">
      <c r="B600" s="143" t="s">
        <v>10</v>
      </c>
      <c r="C600" s="19">
        <v>41</v>
      </c>
      <c r="D600" s="19">
        <v>42</v>
      </c>
      <c r="E600" s="19">
        <v>41</v>
      </c>
      <c r="F600" s="19">
        <v>41</v>
      </c>
      <c r="G600" s="19">
        <v>44</v>
      </c>
      <c r="H600" s="95">
        <v>42</v>
      </c>
      <c r="I600" s="163"/>
      <c r="J600" s="164"/>
      <c r="K600" s="164"/>
      <c r="L600" s="164"/>
      <c r="M600" s="164"/>
      <c r="N600" s="165"/>
    </row>
    <row r="601" spans="2:14" ht="16.5" thickBot="1" x14ac:dyDescent="0.3">
      <c r="B601" s="94" t="s">
        <v>12</v>
      </c>
      <c r="C601" s="93">
        <v>78</v>
      </c>
      <c r="D601" s="93">
        <v>102</v>
      </c>
      <c r="E601" s="93">
        <v>86</v>
      </c>
      <c r="F601" s="93">
        <v>57</v>
      </c>
      <c r="G601" s="93">
        <v>68</v>
      </c>
      <c r="H601" s="97">
        <v>54</v>
      </c>
      <c r="I601" s="166"/>
      <c r="J601" s="167"/>
      <c r="K601" s="167"/>
      <c r="L601" s="167"/>
      <c r="M601" s="167"/>
      <c r="N601" s="168"/>
    </row>
    <row r="602" spans="2:14" ht="15.75" thickBot="1" x14ac:dyDescent="0.3"/>
    <row r="603" spans="2:14" ht="15.75" x14ac:dyDescent="0.25">
      <c r="B603" s="2" t="s">
        <v>0</v>
      </c>
      <c r="C603" s="144" t="s">
        <v>202</v>
      </c>
      <c r="D603" s="145"/>
      <c r="E603" s="146" t="s">
        <v>1</v>
      </c>
      <c r="F603" s="147"/>
      <c r="G603" s="11">
        <v>140</v>
      </c>
      <c r="H603" s="158" t="s">
        <v>2</v>
      </c>
      <c r="I603" s="149"/>
      <c r="J603" s="150"/>
      <c r="K603" s="13">
        <v>140</v>
      </c>
      <c r="L603" s="3"/>
      <c r="M603" s="80" t="s">
        <v>11</v>
      </c>
      <c r="N603" s="98">
        <v>45857</v>
      </c>
    </row>
    <row r="604" spans="2:14" ht="15.75" x14ac:dyDescent="0.25">
      <c r="B604" s="4" t="s">
        <v>3</v>
      </c>
      <c r="C604" s="10">
        <v>31578</v>
      </c>
      <c r="D604" s="159" t="s">
        <v>57</v>
      </c>
      <c r="E604" s="152"/>
      <c r="F604" s="153"/>
      <c r="G604" s="18">
        <v>8200</v>
      </c>
      <c r="H604" s="157" t="s">
        <v>4</v>
      </c>
      <c r="I604" s="155"/>
      <c r="J604" s="156"/>
      <c r="K604" s="113">
        <v>59</v>
      </c>
      <c r="L604" s="15"/>
      <c r="M604" s="15"/>
      <c r="N604" s="16"/>
    </row>
    <row r="605" spans="2:14" ht="15.75" x14ac:dyDescent="0.25">
      <c r="B605" s="4" t="s">
        <v>5</v>
      </c>
      <c r="C605" s="19">
        <v>72</v>
      </c>
      <c r="D605" s="159" t="s">
        <v>8</v>
      </c>
      <c r="E605" s="152"/>
      <c r="F605" s="153"/>
      <c r="G605" s="17">
        <v>0.28000000000000003</v>
      </c>
      <c r="H605" s="157" t="s">
        <v>254</v>
      </c>
      <c r="I605" s="155"/>
      <c r="J605" s="156"/>
      <c r="K605" s="12">
        <v>0.92</v>
      </c>
      <c r="L605" s="157" t="s">
        <v>6</v>
      </c>
      <c r="M605" s="156"/>
      <c r="N605" s="20">
        <v>2.74</v>
      </c>
    </row>
    <row r="606" spans="2:14" ht="16.5" thickBot="1" x14ac:dyDescent="0.3">
      <c r="B606" s="5"/>
      <c r="C606" s="9"/>
      <c r="D606" s="9"/>
      <c r="E606" s="9"/>
      <c r="F606" s="9"/>
      <c r="G606" s="9"/>
      <c r="H606" s="79"/>
      <c r="I606" s="21"/>
      <c r="J606" s="21"/>
      <c r="K606" s="21"/>
      <c r="L606" s="21"/>
      <c r="M606" s="21"/>
      <c r="N606" s="6"/>
    </row>
    <row r="607" spans="2:14" ht="15.75" x14ac:dyDescent="0.25">
      <c r="B607" s="7" t="s">
        <v>7</v>
      </c>
      <c r="C607" s="1">
        <v>1</v>
      </c>
      <c r="D607" s="1">
        <v>2</v>
      </c>
      <c r="E607" s="1">
        <v>3</v>
      </c>
      <c r="F607" s="1">
        <v>4</v>
      </c>
      <c r="G607" s="1">
        <v>5</v>
      </c>
      <c r="H607" s="77">
        <v>6</v>
      </c>
      <c r="I607" s="160" t="s">
        <v>305</v>
      </c>
      <c r="J607" s="161"/>
      <c r="K607" s="161"/>
      <c r="L607" s="161"/>
      <c r="M607" s="161"/>
      <c r="N607" s="162"/>
    </row>
    <row r="608" spans="2:14" ht="47.25" x14ac:dyDescent="0.25">
      <c r="B608" s="143" t="s">
        <v>10</v>
      </c>
      <c r="C608" s="19">
        <v>42</v>
      </c>
      <c r="D608" s="19">
        <v>44</v>
      </c>
      <c r="E608" s="19">
        <v>42</v>
      </c>
      <c r="F608" s="19">
        <v>41</v>
      </c>
      <c r="G608" s="19">
        <v>43</v>
      </c>
      <c r="H608" s="95">
        <v>41</v>
      </c>
      <c r="I608" s="163"/>
      <c r="J608" s="164"/>
      <c r="K608" s="164"/>
      <c r="L608" s="164"/>
      <c r="M608" s="164"/>
      <c r="N608" s="165"/>
    </row>
    <row r="609" spans="2:14" ht="16.5" thickBot="1" x14ac:dyDescent="0.3">
      <c r="B609" s="94" t="s">
        <v>12</v>
      </c>
      <c r="C609" s="93">
        <v>74</v>
      </c>
      <c r="D609" s="93">
        <v>104</v>
      </c>
      <c r="E609" s="93">
        <v>89</v>
      </c>
      <c r="F609" s="93">
        <v>62</v>
      </c>
      <c r="G609" s="93">
        <v>66</v>
      </c>
      <c r="H609" s="97">
        <v>62</v>
      </c>
      <c r="I609" s="166"/>
      <c r="J609" s="167"/>
      <c r="K609" s="167"/>
      <c r="L609" s="167"/>
      <c r="M609" s="167"/>
      <c r="N609" s="168"/>
    </row>
    <row r="610" spans="2:14" ht="15.75" thickBot="1" x14ac:dyDescent="0.3"/>
    <row r="611" spans="2:14" ht="15.75" x14ac:dyDescent="0.25">
      <c r="B611" s="2" t="s">
        <v>0</v>
      </c>
      <c r="C611" s="144" t="s">
        <v>202</v>
      </c>
      <c r="D611" s="145"/>
      <c r="E611" s="146" t="s">
        <v>1</v>
      </c>
      <c r="F611" s="147"/>
      <c r="G611" s="11">
        <v>140</v>
      </c>
      <c r="H611" s="158" t="s">
        <v>2</v>
      </c>
      <c r="I611" s="149"/>
      <c r="J611" s="150"/>
      <c r="K611" s="13">
        <v>140</v>
      </c>
      <c r="L611" s="3"/>
      <c r="M611" s="80" t="s">
        <v>11</v>
      </c>
      <c r="N611" s="98">
        <v>45864</v>
      </c>
    </row>
    <row r="612" spans="2:14" ht="15.75" x14ac:dyDescent="0.25">
      <c r="B612" s="4" t="s">
        <v>3</v>
      </c>
      <c r="C612" s="10">
        <v>31743</v>
      </c>
      <c r="D612" s="159" t="s">
        <v>57</v>
      </c>
      <c r="E612" s="152"/>
      <c r="F612" s="153"/>
      <c r="G612" s="18">
        <v>8200</v>
      </c>
      <c r="H612" s="157" t="s">
        <v>4</v>
      </c>
      <c r="I612" s="155"/>
      <c r="J612" s="156"/>
      <c r="K612" s="113">
        <v>59</v>
      </c>
      <c r="L612" s="15"/>
      <c r="M612" s="15"/>
      <c r="N612" s="16"/>
    </row>
    <row r="613" spans="2:14" ht="15.75" x14ac:dyDescent="0.25">
      <c r="B613" s="4" t="s">
        <v>5</v>
      </c>
      <c r="C613" s="19">
        <v>72</v>
      </c>
      <c r="D613" s="159" t="s">
        <v>8</v>
      </c>
      <c r="E613" s="152"/>
      <c r="F613" s="153"/>
      <c r="G613" s="17">
        <v>0.28000000000000003</v>
      </c>
      <c r="H613" s="157" t="s">
        <v>254</v>
      </c>
      <c r="I613" s="155"/>
      <c r="J613" s="156"/>
      <c r="K613" s="12">
        <v>0.92</v>
      </c>
      <c r="L613" s="157" t="s">
        <v>6</v>
      </c>
      <c r="M613" s="156"/>
      <c r="N613" s="20">
        <v>2.74</v>
      </c>
    </row>
    <row r="614" spans="2:14" ht="16.5" thickBot="1" x14ac:dyDescent="0.3">
      <c r="B614" s="5"/>
      <c r="C614" s="9"/>
      <c r="D614" s="9"/>
      <c r="E614" s="9"/>
      <c r="F614" s="9"/>
      <c r="G614" s="9"/>
      <c r="H614" s="79"/>
      <c r="I614" s="21"/>
      <c r="J614" s="21"/>
      <c r="K614" s="21"/>
      <c r="L614" s="21"/>
      <c r="M614" s="21"/>
      <c r="N614" s="6"/>
    </row>
    <row r="615" spans="2:14" ht="15.75" x14ac:dyDescent="0.25">
      <c r="B615" s="7" t="s">
        <v>7</v>
      </c>
      <c r="C615" s="1">
        <v>1</v>
      </c>
      <c r="D615" s="1">
        <v>2</v>
      </c>
      <c r="E615" s="1">
        <v>3</v>
      </c>
      <c r="F615" s="1">
        <v>4</v>
      </c>
      <c r="G615" s="1">
        <v>5</v>
      </c>
      <c r="H615" s="77">
        <v>6</v>
      </c>
      <c r="I615" s="160" t="s">
        <v>306</v>
      </c>
      <c r="J615" s="161"/>
      <c r="K615" s="161"/>
      <c r="L615" s="161"/>
      <c r="M615" s="161"/>
      <c r="N615" s="162"/>
    </row>
    <row r="616" spans="2:14" ht="47.25" x14ac:dyDescent="0.25">
      <c r="B616" s="143" t="s">
        <v>10</v>
      </c>
      <c r="C616" s="19">
        <v>41</v>
      </c>
      <c r="D616" s="19">
        <v>43</v>
      </c>
      <c r="E616" s="19">
        <v>42</v>
      </c>
      <c r="F616" s="19">
        <v>42</v>
      </c>
      <c r="G616" s="19">
        <v>42</v>
      </c>
      <c r="H616" s="95">
        <v>43</v>
      </c>
      <c r="I616" s="163"/>
      <c r="J616" s="164"/>
      <c r="K616" s="164"/>
      <c r="L616" s="164"/>
      <c r="M616" s="164"/>
      <c r="N616" s="165"/>
    </row>
    <row r="617" spans="2:14" ht="16.5" thickBot="1" x14ac:dyDescent="0.3">
      <c r="B617" s="94" t="s">
        <v>12</v>
      </c>
      <c r="C617" s="93">
        <v>128</v>
      </c>
      <c r="D617" s="93">
        <v>76</v>
      </c>
      <c r="E617" s="93">
        <v>65</v>
      </c>
      <c r="F617" s="93">
        <v>71</v>
      </c>
      <c r="G617" s="93">
        <v>54</v>
      </c>
      <c r="H617" s="97">
        <v>63</v>
      </c>
      <c r="I617" s="166"/>
      <c r="J617" s="167"/>
      <c r="K617" s="167"/>
      <c r="L617" s="167"/>
      <c r="M617" s="167"/>
      <c r="N617" s="168"/>
    </row>
    <row r="618" spans="2:14" ht="15.75" thickBot="1" x14ac:dyDescent="0.3"/>
    <row r="619" spans="2:14" ht="15.75" x14ac:dyDescent="0.25">
      <c r="B619" s="2" t="s">
        <v>0</v>
      </c>
      <c r="C619" s="144" t="s">
        <v>202</v>
      </c>
      <c r="D619" s="145"/>
      <c r="E619" s="146" t="s">
        <v>1</v>
      </c>
      <c r="F619" s="147"/>
      <c r="G619" s="11">
        <v>140</v>
      </c>
      <c r="H619" s="158" t="s">
        <v>2</v>
      </c>
      <c r="I619" s="149"/>
      <c r="J619" s="150"/>
      <c r="K619" s="13">
        <v>140</v>
      </c>
      <c r="L619" s="3"/>
      <c r="M619" s="80" t="s">
        <v>11</v>
      </c>
      <c r="N619" s="98">
        <v>45871</v>
      </c>
    </row>
    <row r="620" spans="2:14" ht="15.75" x14ac:dyDescent="0.25">
      <c r="B620" s="4" t="s">
        <v>3</v>
      </c>
      <c r="C620" s="10">
        <v>31907</v>
      </c>
      <c r="D620" s="159" t="s">
        <v>57</v>
      </c>
      <c r="E620" s="152"/>
      <c r="F620" s="153"/>
      <c r="G620" s="18">
        <v>8200</v>
      </c>
      <c r="H620" s="157" t="s">
        <v>4</v>
      </c>
      <c r="I620" s="155"/>
      <c r="J620" s="156"/>
      <c r="K620" s="113">
        <v>59</v>
      </c>
      <c r="L620" s="15"/>
      <c r="M620" s="15"/>
      <c r="N620" s="16"/>
    </row>
    <row r="621" spans="2:14" ht="15.75" x14ac:dyDescent="0.25">
      <c r="B621" s="4" t="s">
        <v>5</v>
      </c>
      <c r="C621" s="19">
        <v>72</v>
      </c>
      <c r="D621" s="159" t="s">
        <v>8</v>
      </c>
      <c r="E621" s="152"/>
      <c r="F621" s="153"/>
      <c r="G621" s="17">
        <v>0.28000000000000003</v>
      </c>
      <c r="H621" s="157" t="s">
        <v>254</v>
      </c>
      <c r="I621" s="155"/>
      <c r="J621" s="156"/>
      <c r="K621" s="12">
        <v>0.92</v>
      </c>
      <c r="L621" s="157" t="s">
        <v>6</v>
      </c>
      <c r="M621" s="156"/>
      <c r="N621" s="20">
        <v>2.74</v>
      </c>
    </row>
    <row r="622" spans="2:14" ht="16.5" thickBot="1" x14ac:dyDescent="0.3">
      <c r="B622" s="5"/>
      <c r="C622" s="9"/>
      <c r="D622" s="9"/>
      <c r="E622" s="9"/>
      <c r="F622" s="9"/>
      <c r="G622" s="9"/>
      <c r="H622" s="79"/>
      <c r="I622" s="21"/>
      <c r="J622" s="21"/>
      <c r="K622" s="21"/>
      <c r="L622" s="21"/>
      <c r="M622" s="21"/>
      <c r="N622" s="6"/>
    </row>
    <row r="623" spans="2:14" ht="15.75" x14ac:dyDescent="0.25">
      <c r="B623" s="7" t="s">
        <v>7</v>
      </c>
      <c r="C623" s="1">
        <v>1</v>
      </c>
      <c r="D623" s="1">
        <v>2</v>
      </c>
      <c r="E623" s="1">
        <v>3</v>
      </c>
      <c r="F623" s="1">
        <v>4</v>
      </c>
      <c r="G623" s="1">
        <v>5</v>
      </c>
      <c r="H623" s="77">
        <v>6</v>
      </c>
      <c r="I623" s="160" t="s">
        <v>307</v>
      </c>
      <c r="J623" s="161"/>
      <c r="K623" s="161"/>
      <c r="L623" s="161"/>
      <c r="M623" s="161"/>
      <c r="N623" s="162"/>
    </row>
    <row r="624" spans="2:14" ht="47.25" x14ac:dyDescent="0.25">
      <c r="B624" s="143" t="s">
        <v>10</v>
      </c>
      <c r="C624" s="19">
        <v>42</v>
      </c>
      <c r="D624" s="19">
        <v>43</v>
      </c>
      <c r="E624" s="19">
        <v>42</v>
      </c>
      <c r="F624" s="19">
        <v>41</v>
      </c>
      <c r="G624" s="19">
        <v>43</v>
      </c>
      <c r="H624" s="95">
        <v>41</v>
      </c>
      <c r="I624" s="163"/>
      <c r="J624" s="164"/>
      <c r="K624" s="164"/>
      <c r="L624" s="164"/>
      <c r="M624" s="164"/>
      <c r="N624" s="165"/>
    </row>
    <row r="625" spans="2:14" ht="16.5" thickBot="1" x14ac:dyDescent="0.3">
      <c r="B625" s="94" t="s">
        <v>12</v>
      </c>
      <c r="C625" s="93">
        <v>92</v>
      </c>
      <c r="D625" s="93">
        <v>71</v>
      </c>
      <c r="E625" s="93">
        <v>49</v>
      </c>
      <c r="F625" s="93">
        <v>49</v>
      </c>
      <c r="G625" s="93">
        <v>63</v>
      </c>
      <c r="H625" s="97">
        <v>53</v>
      </c>
      <c r="I625" s="166"/>
      <c r="J625" s="167"/>
      <c r="K625" s="167"/>
      <c r="L625" s="167"/>
      <c r="M625" s="167"/>
      <c r="N625" s="168"/>
    </row>
    <row r="626" spans="2:14" ht="15.75" thickBot="1" x14ac:dyDescent="0.3"/>
    <row r="627" spans="2:14" ht="15.75" x14ac:dyDescent="0.25">
      <c r="B627" s="2" t="s">
        <v>0</v>
      </c>
      <c r="C627" s="144" t="s">
        <v>202</v>
      </c>
      <c r="D627" s="145"/>
      <c r="E627" s="146" t="s">
        <v>1</v>
      </c>
      <c r="F627" s="147"/>
      <c r="G627" s="11">
        <v>140</v>
      </c>
      <c r="H627" s="158" t="s">
        <v>2</v>
      </c>
      <c r="I627" s="149"/>
      <c r="J627" s="150"/>
      <c r="K627" s="13">
        <v>140</v>
      </c>
      <c r="L627" s="3"/>
      <c r="M627" s="80" t="s">
        <v>11</v>
      </c>
      <c r="N627" s="98">
        <v>45878</v>
      </c>
    </row>
    <row r="628" spans="2:14" ht="15.75" x14ac:dyDescent="0.25">
      <c r="B628" s="4" t="s">
        <v>3</v>
      </c>
      <c r="C628" s="10">
        <v>32032</v>
      </c>
      <c r="D628" s="159" t="s">
        <v>57</v>
      </c>
      <c r="E628" s="152"/>
      <c r="F628" s="153"/>
      <c r="G628" s="18">
        <v>8200</v>
      </c>
      <c r="H628" s="157" t="s">
        <v>4</v>
      </c>
      <c r="I628" s="155"/>
      <c r="J628" s="156"/>
      <c r="K628" s="113">
        <v>59</v>
      </c>
      <c r="L628" s="15"/>
      <c r="M628" s="15"/>
      <c r="N628" s="16"/>
    </row>
    <row r="629" spans="2:14" ht="15.75" x14ac:dyDescent="0.25">
      <c r="B629" s="4" t="s">
        <v>5</v>
      </c>
      <c r="C629" s="19">
        <v>72</v>
      </c>
      <c r="D629" s="159" t="s">
        <v>8</v>
      </c>
      <c r="E629" s="152"/>
      <c r="F629" s="153"/>
      <c r="G629" s="17">
        <v>0.28000000000000003</v>
      </c>
      <c r="H629" s="157" t="s">
        <v>254</v>
      </c>
      <c r="I629" s="155"/>
      <c r="J629" s="156"/>
      <c r="K629" s="12">
        <v>0.92</v>
      </c>
      <c r="L629" s="157" t="s">
        <v>6</v>
      </c>
      <c r="M629" s="156"/>
      <c r="N629" s="20">
        <v>2.74</v>
      </c>
    </row>
    <row r="630" spans="2:14" ht="16.5" thickBot="1" x14ac:dyDescent="0.3">
      <c r="B630" s="5"/>
      <c r="C630" s="9"/>
      <c r="D630" s="9"/>
      <c r="E630" s="9"/>
      <c r="F630" s="9"/>
      <c r="G630" s="9"/>
      <c r="H630" s="79"/>
      <c r="I630" s="21"/>
      <c r="J630" s="21"/>
      <c r="K630" s="21"/>
      <c r="L630" s="21"/>
      <c r="M630" s="21"/>
      <c r="N630" s="6"/>
    </row>
    <row r="631" spans="2:14" ht="15.75" x14ac:dyDescent="0.25">
      <c r="B631" s="7" t="s">
        <v>7</v>
      </c>
      <c r="C631" s="1">
        <v>1</v>
      </c>
      <c r="D631" s="1">
        <v>2</v>
      </c>
      <c r="E631" s="1">
        <v>3</v>
      </c>
      <c r="F631" s="1">
        <v>4</v>
      </c>
      <c r="G631" s="1">
        <v>5</v>
      </c>
      <c r="H631" s="77">
        <v>6</v>
      </c>
      <c r="I631" s="160" t="s">
        <v>308</v>
      </c>
      <c r="J631" s="161"/>
      <c r="K631" s="161"/>
      <c r="L631" s="161"/>
      <c r="M631" s="161"/>
      <c r="N631" s="162"/>
    </row>
    <row r="632" spans="2:14" ht="47.25" x14ac:dyDescent="0.25">
      <c r="B632" s="143" t="s">
        <v>10</v>
      </c>
      <c r="C632" s="19">
        <v>41</v>
      </c>
      <c r="D632" s="19">
        <v>43</v>
      </c>
      <c r="E632" s="19">
        <v>42</v>
      </c>
      <c r="F632" s="19">
        <v>42</v>
      </c>
      <c r="G632" s="19">
        <v>41</v>
      </c>
      <c r="H632" s="95">
        <v>43</v>
      </c>
      <c r="I632" s="163"/>
      <c r="J632" s="164"/>
      <c r="K632" s="164"/>
      <c r="L632" s="164"/>
      <c r="M632" s="164"/>
      <c r="N632" s="165"/>
    </row>
    <row r="633" spans="2:14" ht="16.5" thickBot="1" x14ac:dyDescent="0.3">
      <c r="B633" s="94" t="s">
        <v>12</v>
      </c>
      <c r="C633" s="93">
        <v>105</v>
      </c>
      <c r="D633" s="93">
        <v>76</v>
      </c>
      <c r="E633" s="93">
        <v>49</v>
      </c>
      <c r="F633" s="93">
        <v>65</v>
      </c>
      <c r="G633" s="93">
        <v>71</v>
      </c>
      <c r="H633" s="97">
        <v>63</v>
      </c>
      <c r="I633" s="166"/>
      <c r="J633" s="167"/>
      <c r="K633" s="167"/>
      <c r="L633" s="167"/>
      <c r="M633" s="167"/>
      <c r="N633" s="168"/>
    </row>
    <row r="634" spans="2:14" ht="15.75" thickBot="1" x14ac:dyDescent="0.3"/>
    <row r="635" spans="2:14" ht="15.75" x14ac:dyDescent="0.25">
      <c r="B635" s="2" t="s">
        <v>0</v>
      </c>
      <c r="C635" s="144" t="s">
        <v>202</v>
      </c>
      <c r="D635" s="145"/>
      <c r="E635" s="146" t="s">
        <v>1</v>
      </c>
      <c r="F635" s="147"/>
      <c r="G635" s="11">
        <v>140</v>
      </c>
      <c r="H635" s="158" t="s">
        <v>2</v>
      </c>
      <c r="I635" s="149"/>
      <c r="J635" s="150"/>
      <c r="K635" s="13">
        <v>140</v>
      </c>
      <c r="L635" s="3"/>
      <c r="M635" s="80" t="s">
        <v>11</v>
      </c>
      <c r="N635" s="98">
        <v>45885</v>
      </c>
    </row>
    <row r="636" spans="2:14" ht="15.75" x14ac:dyDescent="0.25">
      <c r="B636" s="4" t="s">
        <v>3</v>
      </c>
      <c r="C636" s="10">
        <v>32155</v>
      </c>
      <c r="D636" s="159" t="s">
        <v>57</v>
      </c>
      <c r="E636" s="152"/>
      <c r="F636" s="153"/>
      <c r="G636" s="18">
        <v>8200</v>
      </c>
      <c r="H636" s="157" t="s">
        <v>4</v>
      </c>
      <c r="I636" s="155"/>
      <c r="J636" s="156"/>
      <c r="K636" s="113">
        <v>59</v>
      </c>
      <c r="L636" s="15"/>
      <c r="M636" s="15"/>
      <c r="N636" s="16"/>
    </row>
    <row r="637" spans="2:14" ht="15.75" x14ac:dyDescent="0.25">
      <c r="B637" s="4" t="s">
        <v>5</v>
      </c>
      <c r="C637" s="19">
        <v>72</v>
      </c>
      <c r="D637" s="159" t="s">
        <v>8</v>
      </c>
      <c r="E637" s="152"/>
      <c r="F637" s="153"/>
      <c r="G637" s="17">
        <v>0.28000000000000003</v>
      </c>
      <c r="H637" s="157" t="s">
        <v>254</v>
      </c>
      <c r="I637" s="155"/>
      <c r="J637" s="156"/>
      <c r="K637" s="12">
        <v>0.92</v>
      </c>
      <c r="L637" s="157" t="s">
        <v>6</v>
      </c>
      <c r="M637" s="156"/>
      <c r="N637" s="20">
        <v>2.74</v>
      </c>
    </row>
    <row r="638" spans="2:14" ht="16.5" thickBot="1" x14ac:dyDescent="0.3">
      <c r="B638" s="5"/>
      <c r="C638" s="9"/>
      <c r="D638" s="9"/>
      <c r="E638" s="9"/>
      <c r="F638" s="9"/>
      <c r="G638" s="9"/>
      <c r="H638" s="79"/>
      <c r="I638" s="21"/>
      <c r="J638" s="21"/>
      <c r="K638" s="21"/>
      <c r="L638" s="21"/>
      <c r="M638" s="21"/>
      <c r="N638" s="6"/>
    </row>
    <row r="639" spans="2:14" ht="15.75" x14ac:dyDescent="0.25">
      <c r="B639" s="7" t="s">
        <v>7</v>
      </c>
      <c r="C639" s="1">
        <v>1</v>
      </c>
      <c r="D639" s="1">
        <v>2</v>
      </c>
      <c r="E639" s="1">
        <v>3</v>
      </c>
      <c r="F639" s="1">
        <v>4</v>
      </c>
      <c r="G639" s="1">
        <v>5</v>
      </c>
      <c r="H639" s="77">
        <v>6</v>
      </c>
      <c r="I639" s="160" t="s">
        <v>309</v>
      </c>
      <c r="J639" s="161"/>
      <c r="K639" s="161"/>
      <c r="L639" s="161"/>
      <c r="M639" s="161"/>
      <c r="N639" s="162"/>
    </row>
    <row r="640" spans="2:14" ht="47.25" x14ac:dyDescent="0.25">
      <c r="B640" s="143" t="s">
        <v>10</v>
      </c>
      <c r="C640" s="19">
        <v>43</v>
      </c>
      <c r="D640" s="19">
        <v>42</v>
      </c>
      <c r="E640" s="19">
        <v>41</v>
      </c>
      <c r="F640" s="19">
        <v>43</v>
      </c>
      <c r="G640" s="19">
        <v>43</v>
      </c>
      <c r="H640" s="95">
        <v>42</v>
      </c>
      <c r="I640" s="163"/>
      <c r="J640" s="164"/>
      <c r="K640" s="164"/>
      <c r="L640" s="164"/>
      <c r="M640" s="164"/>
      <c r="N640" s="165"/>
    </row>
    <row r="641" spans="2:14" ht="16.5" thickBot="1" x14ac:dyDescent="0.3">
      <c r="B641" s="94" t="s">
        <v>12</v>
      </c>
      <c r="C641" s="93">
        <v>92</v>
      </c>
      <c r="D641" s="93">
        <v>71</v>
      </c>
      <c r="E641" s="93">
        <v>66</v>
      </c>
      <c r="F641" s="93">
        <v>58</v>
      </c>
      <c r="G641" s="93">
        <v>69</v>
      </c>
      <c r="H641" s="97">
        <v>55</v>
      </c>
      <c r="I641" s="166"/>
      <c r="J641" s="167"/>
      <c r="K641" s="167"/>
      <c r="L641" s="167"/>
      <c r="M641" s="167"/>
      <c r="N641" s="168"/>
    </row>
    <row r="642" spans="2:14" ht="15.75" thickBot="1" x14ac:dyDescent="0.3"/>
    <row r="643" spans="2:14" ht="15.75" x14ac:dyDescent="0.25">
      <c r="B643" s="2" t="s">
        <v>0</v>
      </c>
      <c r="C643" s="144" t="s">
        <v>202</v>
      </c>
      <c r="D643" s="145"/>
      <c r="E643" s="146" t="s">
        <v>1</v>
      </c>
      <c r="F643" s="147"/>
      <c r="G643" s="11">
        <v>140</v>
      </c>
      <c r="H643" s="158" t="s">
        <v>2</v>
      </c>
      <c r="I643" s="149"/>
      <c r="J643" s="150"/>
      <c r="K643" s="13">
        <v>140</v>
      </c>
      <c r="L643" s="3"/>
      <c r="M643" s="80" t="s">
        <v>11</v>
      </c>
      <c r="N643" s="98">
        <v>45892</v>
      </c>
    </row>
    <row r="644" spans="2:14" ht="15.75" x14ac:dyDescent="0.25">
      <c r="B644" s="4" t="s">
        <v>3</v>
      </c>
      <c r="C644" s="10">
        <v>32322</v>
      </c>
      <c r="D644" s="159" t="s">
        <v>57</v>
      </c>
      <c r="E644" s="152"/>
      <c r="F644" s="153"/>
      <c r="G644" s="18">
        <v>3650</v>
      </c>
      <c r="H644" s="157" t="s">
        <v>4</v>
      </c>
      <c r="I644" s="155"/>
      <c r="J644" s="156"/>
      <c r="K644" s="113">
        <v>47</v>
      </c>
      <c r="L644" s="15"/>
      <c r="M644" s="15"/>
      <c r="N644" s="16"/>
    </row>
    <row r="645" spans="2:14" ht="15.75" x14ac:dyDescent="0.25">
      <c r="B645" s="4" t="s">
        <v>5</v>
      </c>
      <c r="C645" s="19">
        <v>43</v>
      </c>
      <c r="D645" s="159" t="s">
        <v>8</v>
      </c>
      <c r="E645" s="152"/>
      <c r="F645" s="153"/>
      <c r="G645" s="17">
        <v>0.28000000000000003</v>
      </c>
      <c r="H645" s="157" t="s">
        <v>254</v>
      </c>
      <c r="I645" s="155"/>
      <c r="J645" s="156"/>
      <c r="K645" s="12">
        <v>0.92</v>
      </c>
      <c r="L645" s="157" t="s">
        <v>6</v>
      </c>
      <c r="M645" s="156"/>
      <c r="N645" s="20">
        <v>2.74</v>
      </c>
    </row>
    <row r="646" spans="2:14" ht="16.5" thickBot="1" x14ac:dyDescent="0.3">
      <c r="B646" s="5"/>
      <c r="C646" s="9"/>
      <c r="D646" s="9"/>
      <c r="E646" s="9"/>
      <c r="F646" s="9"/>
      <c r="G646" s="9"/>
      <c r="H646" s="79"/>
      <c r="I646" s="21"/>
      <c r="J646" s="21"/>
      <c r="K646" s="21"/>
      <c r="L646" s="21"/>
      <c r="M646" s="21"/>
      <c r="N646" s="6"/>
    </row>
    <row r="647" spans="2:14" ht="15.75" x14ac:dyDescent="0.25">
      <c r="B647" s="7" t="s">
        <v>7</v>
      </c>
      <c r="C647" s="1">
        <v>1</v>
      </c>
      <c r="D647" s="1">
        <v>2</v>
      </c>
      <c r="E647" s="1">
        <v>3</v>
      </c>
      <c r="F647" s="1">
        <v>4</v>
      </c>
      <c r="G647" s="1">
        <v>5</v>
      </c>
      <c r="H647" s="77">
        <v>6</v>
      </c>
      <c r="I647" s="160" t="s">
        <v>310</v>
      </c>
      <c r="J647" s="161"/>
      <c r="K647" s="161"/>
      <c r="L647" s="161"/>
      <c r="M647" s="161"/>
      <c r="N647" s="162"/>
    </row>
    <row r="648" spans="2:14" ht="47.25" x14ac:dyDescent="0.25">
      <c r="B648" s="143" t="s">
        <v>10</v>
      </c>
      <c r="C648" s="19">
        <v>82</v>
      </c>
      <c r="D648" s="19">
        <v>80</v>
      </c>
      <c r="E648" s="19">
        <v>89</v>
      </c>
      <c r="F648" s="19">
        <v>65</v>
      </c>
      <c r="G648" s="19">
        <v>56</v>
      </c>
      <c r="H648" s="95">
        <v>52</v>
      </c>
      <c r="I648" s="163"/>
      <c r="J648" s="164"/>
      <c r="K648" s="164"/>
      <c r="L648" s="164"/>
      <c r="M648" s="164"/>
      <c r="N648" s="165"/>
    </row>
    <row r="649" spans="2:14" ht="16.5" thickBot="1" x14ac:dyDescent="0.3">
      <c r="B649" s="94" t="s">
        <v>12</v>
      </c>
      <c r="C649" s="93">
        <v>136</v>
      </c>
      <c r="D649" s="93">
        <v>89</v>
      </c>
      <c r="E649" s="93">
        <v>92</v>
      </c>
      <c r="F649" s="93">
        <v>63</v>
      </c>
      <c r="G649" s="93">
        <v>65</v>
      </c>
      <c r="H649" s="97">
        <v>59</v>
      </c>
      <c r="I649" s="166"/>
      <c r="J649" s="167"/>
      <c r="K649" s="167"/>
      <c r="L649" s="167"/>
      <c r="M649" s="167"/>
      <c r="N649" s="168"/>
    </row>
    <row r="650" spans="2:14" ht="15.75" thickBot="1" x14ac:dyDescent="0.3"/>
    <row r="651" spans="2:14" ht="15.75" x14ac:dyDescent="0.25">
      <c r="B651" s="2" t="s">
        <v>0</v>
      </c>
      <c r="C651" s="144" t="s">
        <v>202</v>
      </c>
      <c r="D651" s="145"/>
      <c r="E651" s="146" t="s">
        <v>1</v>
      </c>
      <c r="F651" s="147"/>
      <c r="G651" s="11">
        <v>140</v>
      </c>
      <c r="H651" s="158" t="s">
        <v>2</v>
      </c>
      <c r="I651" s="149"/>
      <c r="J651" s="150"/>
      <c r="K651" s="13">
        <v>140</v>
      </c>
      <c r="L651" s="3"/>
      <c r="M651" s="80" t="s">
        <v>11</v>
      </c>
      <c r="N651" s="98">
        <v>45899</v>
      </c>
    </row>
    <row r="652" spans="2:14" ht="15.75" x14ac:dyDescent="0.25">
      <c r="B652" s="4" t="s">
        <v>3</v>
      </c>
      <c r="C652" s="10">
        <v>32444</v>
      </c>
      <c r="D652" s="159" t="s">
        <v>57</v>
      </c>
      <c r="E652" s="152"/>
      <c r="F652" s="153"/>
      <c r="G652" s="18">
        <v>3650</v>
      </c>
      <c r="H652" s="157" t="s">
        <v>4</v>
      </c>
      <c r="I652" s="155"/>
      <c r="J652" s="156"/>
      <c r="K652" s="113">
        <v>47</v>
      </c>
      <c r="L652" s="15"/>
      <c r="M652" s="15"/>
      <c r="N652" s="16"/>
    </row>
    <row r="653" spans="2:14" ht="15.75" x14ac:dyDescent="0.25">
      <c r="B653" s="4" t="s">
        <v>5</v>
      </c>
      <c r="C653" s="19">
        <v>43</v>
      </c>
      <c r="D653" s="159" t="s">
        <v>8</v>
      </c>
      <c r="E653" s="152"/>
      <c r="F653" s="153"/>
      <c r="G653" s="17">
        <v>0.28000000000000003</v>
      </c>
      <c r="H653" s="157" t="s">
        <v>254</v>
      </c>
      <c r="I653" s="155"/>
      <c r="J653" s="156"/>
      <c r="K653" s="12">
        <v>0.92</v>
      </c>
      <c r="L653" s="157" t="s">
        <v>6</v>
      </c>
      <c r="M653" s="156"/>
      <c r="N653" s="20">
        <v>2.74</v>
      </c>
    </row>
    <row r="654" spans="2:14" ht="16.5" thickBot="1" x14ac:dyDescent="0.3">
      <c r="B654" s="5"/>
      <c r="C654" s="9"/>
      <c r="D654" s="9"/>
      <c r="E654" s="9"/>
      <c r="F654" s="9"/>
      <c r="G654" s="9"/>
      <c r="H654" s="79"/>
      <c r="I654" s="21"/>
      <c r="J654" s="21"/>
      <c r="K654" s="21"/>
      <c r="L654" s="21"/>
      <c r="M654" s="21"/>
      <c r="N654" s="6"/>
    </row>
    <row r="655" spans="2:14" ht="15.75" x14ac:dyDescent="0.25">
      <c r="B655" s="7" t="s">
        <v>7</v>
      </c>
      <c r="C655" s="1">
        <v>1</v>
      </c>
      <c r="D655" s="1">
        <v>2</v>
      </c>
      <c r="E655" s="1">
        <v>3</v>
      </c>
      <c r="F655" s="1">
        <v>4</v>
      </c>
      <c r="G655" s="1">
        <v>5</v>
      </c>
      <c r="H655" s="77">
        <v>6</v>
      </c>
      <c r="I655" s="160" t="s">
        <v>311</v>
      </c>
      <c r="J655" s="161"/>
      <c r="K655" s="161"/>
      <c r="L655" s="161"/>
      <c r="M655" s="161"/>
      <c r="N655" s="162"/>
    </row>
    <row r="656" spans="2:14" ht="47.25" x14ac:dyDescent="0.25">
      <c r="B656" s="143" t="s">
        <v>10</v>
      </c>
      <c r="C656" s="19">
        <v>80</v>
      </c>
      <c r="D656" s="19">
        <v>82</v>
      </c>
      <c r="E656" s="19">
        <v>86</v>
      </c>
      <c r="F656" s="19">
        <v>63</v>
      </c>
      <c r="G656" s="19">
        <v>53</v>
      </c>
      <c r="H656" s="95">
        <v>55</v>
      </c>
      <c r="I656" s="163"/>
      <c r="J656" s="164"/>
      <c r="K656" s="164"/>
      <c r="L656" s="164"/>
      <c r="M656" s="164"/>
      <c r="N656" s="165"/>
    </row>
    <row r="657" spans="2:14" ht="16.5" thickBot="1" x14ac:dyDescent="0.3">
      <c r="B657" s="94" t="s">
        <v>12</v>
      </c>
      <c r="C657" s="93">
        <v>130</v>
      </c>
      <c r="D657" s="93">
        <v>90</v>
      </c>
      <c r="E657" s="93">
        <v>88</v>
      </c>
      <c r="F657" s="93">
        <v>61</v>
      </c>
      <c r="G657" s="93">
        <v>66</v>
      </c>
      <c r="H657" s="97">
        <v>56</v>
      </c>
      <c r="I657" s="166"/>
      <c r="J657" s="167"/>
      <c r="K657" s="167"/>
      <c r="L657" s="167"/>
      <c r="M657" s="167"/>
      <c r="N657" s="168"/>
    </row>
    <row r="658" spans="2:14" ht="15.75" thickBot="1" x14ac:dyDescent="0.3"/>
    <row r="659" spans="2:14" ht="15.75" x14ac:dyDescent="0.25">
      <c r="B659" s="2" t="s">
        <v>0</v>
      </c>
      <c r="C659" s="144" t="s">
        <v>202</v>
      </c>
      <c r="D659" s="145"/>
      <c r="E659" s="146" t="s">
        <v>1</v>
      </c>
      <c r="F659" s="147"/>
      <c r="G659" s="11">
        <v>140</v>
      </c>
      <c r="H659" s="158" t="s">
        <v>2</v>
      </c>
      <c r="I659" s="149"/>
      <c r="J659" s="150"/>
      <c r="K659" s="13">
        <v>140</v>
      </c>
      <c r="L659" s="3"/>
      <c r="M659" s="80" t="s">
        <v>11</v>
      </c>
      <c r="N659" s="98">
        <v>45906</v>
      </c>
    </row>
    <row r="660" spans="2:14" ht="15.75" x14ac:dyDescent="0.25">
      <c r="B660" s="4" t="s">
        <v>3</v>
      </c>
      <c r="C660" s="10">
        <v>32610</v>
      </c>
      <c r="D660" s="159" t="s">
        <v>57</v>
      </c>
      <c r="E660" s="152"/>
      <c r="F660" s="153"/>
      <c r="G660" s="18">
        <v>3650</v>
      </c>
      <c r="H660" s="157" t="s">
        <v>4</v>
      </c>
      <c r="I660" s="155"/>
      <c r="J660" s="156"/>
      <c r="K660" s="113">
        <v>60</v>
      </c>
      <c r="L660" s="15"/>
      <c r="M660" s="15"/>
      <c r="N660" s="16"/>
    </row>
    <row r="661" spans="2:14" ht="15.75" x14ac:dyDescent="0.25">
      <c r="B661" s="4" t="s">
        <v>5</v>
      </c>
      <c r="C661" s="19">
        <v>43</v>
      </c>
      <c r="D661" s="159" t="s">
        <v>8</v>
      </c>
      <c r="E661" s="152"/>
      <c r="F661" s="153"/>
      <c r="G661" s="17">
        <v>0.28000000000000003</v>
      </c>
      <c r="H661" s="157" t="s">
        <v>254</v>
      </c>
      <c r="I661" s="155"/>
      <c r="J661" s="156"/>
      <c r="K661" s="12">
        <v>0.92</v>
      </c>
      <c r="L661" s="157" t="s">
        <v>6</v>
      </c>
      <c r="M661" s="156"/>
      <c r="N661" s="20">
        <v>2.74</v>
      </c>
    </row>
    <row r="662" spans="2:14" ht="16.5" thickBot="1" x14ac:dyDescent="0.3">
      <c r="B662" s="5"/>
      <c r="C662" s="9"/>
      <c r="D662" s="9"/>
      <c r="E662" s="9"/>
      <c r="F662" s="9"/>
      <c r="G662" s="9"/>
      <c r="H662" s="79"/>
      <c r="I662" s="21"/>
      <c r="J662" s="21"/>
      <c r="K662" s="21"/>
      <c r="L662" s="21"/>
      <c r="M662" s="21"/>
      <c r="N662" s="6"/>
    </row>
    <row r="663" spans="2:14" ht="15.75" x14ac:dyDescent="0.25">
      <c r="B663" s="7" t="s">
        <v>7</v>
      </c>
      <c r="C663" s="1">
        <v>1</v>
      </c>
      <c r="D663" s="1">
        <v>2</v>
      </c>
      <c r="E663" s="1">
        <v>3</v>
      </c>
      <c r="F663" s="1">
        <v>4</v>
      </c>
      <c r="G663" s="1">
        <v>5</v>
      </c>
      <c r="H663" s="77">
        <v>6</v>
      </c>
      <c r="I663" s="160" t="s">
        <v>312</v>
      </c>
      <c r="J663" s="161"/>
      <c r="K663" s="161"/>
      <c r="L663" s="161"/>
      <c r="M663" s="161"/>
      <c r="N663" s="162"/>
    </row>
    <row r="664" spans="2:14" ht="47.25" x14ac:dyDescent="0.25">
      <c r="B664" s="143" t="s">
        <v>10</v>
      </c>
      <c r="C664" s="19">
        <v>51</v>
      </c>
      <c r="D664" s="19">
        <v>48</v>
      </c>
      <c r="E664" s="19">
        <v>39</v>
      </c>
      <c r="F664" s="19">
        <v>36</v>
      </c>
      <c r="G664" s="19">
        <v>34</v>
      </c>
      <c r="H664" s="95">
        <v>42</v>
      </c>
      <c r="I664" s="163"/>
      <c r="J664" s="164"/>
      <c r="K664" s="164"/>
      <c r="L664" s="164"/>
      <c r="M664" s="164"/>
      <c r="N664" s="165"/>
    </row>
    <row r="665" spans="2:14" ht="16.5" thickBot="1" x14ac:dyDescent="0.3">
      <c r="B665" s="94" t="s">
        <v>12</v>
      </c>
      <c r="C665" s="93">
        <v>68</v>
      </c>
      <c r="D665" s="93">
        <v>62</v>
      </c>
      <c r="E665" s="93">
        <v>51</v>
      </c>
      <c r="F665" s="93">
        <v>58</v>
      </c>
      <c r="G665" s="93">
        <v>56</v>
      </c>
      <c r="H665" s="97">
        <v>54</v>
      </c>
      <c r="I665" s="166"/>
      <c r="J665" s="167"/>
      <c r="K665" s="167"/>
      <c r="L665" s="167"/>
      <c r="M665" s="167"/>
      <c r="N665" s="168"/>
    </row>
    <row r="666" spans="2:14" ht="15.75" thickBot="1" x14ac:dyDescent="0.3"/>
    <row r="667" spans="2:14" ht="15.75" x14ac:dyDescent="0.25">
      <c r="B667" s="2" t="s">
        <v>0</v>
      </c>
      <c r="C667" s="144" t="s">
        <v>202</v>
      </c>
      <c r="D667" s="145"/>
      <c r="E667" s="146" t="s">
        <v>1</v>
      </c>
      <c r="F667" s="147"/>
      <c r="G667" s="11">
        <v>140</v>
      </c>
      <c r="H667" s="158" t="s">
        <v>2</v>
      </c>
      <c r="I667" s="149"/>
      <c r="J667" s="150"/>
      <c r="K667" s="13">
        <v>140</v>
      </c>
      <c r="L667" s="3"/>
      <c r="M667" s="80" t="s">
        <v>11</v>
      </c>
      <c r="N667" s="98">
        <v>45913</v>
      </c>
    </row>
    <row r="668" spans="2:14" ht="15.75" x14ac:dyDescent="0.25">
      <c r="B668" s="4" t="s">
        <v>3</v>
      </c>
      <c r="C668" s="10">
        <v>32751</v>
      </c>
      <c r="D668" s="159" t="s">
        <v>57</v>
      </c>
      <c r="E668" s="152"/>
      <c r="F668" s="153"/>
      <c r="G668" s="18">
        <v>3650</v>
      </c>
      <c r="H668" s="157" t="s">
        <v>4</v>
      </c>
      <c r="I668" s="155"/>
      <c r="J668" s="156"/>
      <c r="K668" s="113">
        <v>60</v>
      </c>
      <c r="L668" s="15"/>
      <c r="M668" s="15"/>
      <c r="N668" s="16"/>
    </row>
    <row r="669" spans="2:14" ht="15.75" x14ac:dyDescent="0.25">
      <c r="B669" s="4" t="s">
        <v>5</v>
      </c>
      <c r="C669" s="19">
        <v>43</v>
      </c>
      <c r="D669" s="159" t="s">
        <v>8</v>
      </c>
      <c r="E669" s="152"/>
      <c r="F669" s="153"/>
      <c r="G669" s="17">
        <v>0.28000000000000003</v>
      </c>
      <c r="H669" s="157" t="s">
        <v>254</v>
      </c>
      <c r="I669" s="155"/>
      <c r="J669" s="156"/>
      <c r="K669" s="12">
        <v>0.92</v>
      </c>
      <c r="L669" s="157" t="s">
        <v>6</v>
      </c>
      <c r="M669" s="156"/>
      <c r="N669" s="20">
        <v>3.38</v>
      </c>
    </row>
    <row r="670" spans="2:14" ht="16.5" thickBot="1" x14ac:dyDescent="0.3">
      <c r="B670" s="5"/>
      <c r="C670" s="9"/>
      <c r="D670" s="9"/>
      <c r="E670" s="9"/>
      <c r="F670" s="9"/>
      <c r="G670" s="9"/>
      <c r="H670" s="79"/>
      <c r="I670" s="21"/>
      <c r="J670" s="21"/>
      <c r="K670" s="21"/>
      <c r="L670" s="21"/>
      <c r="M670" s="21"/>
      <c r="N670" s="6"/>
    </row>
    <row r="671" spans="2:14" ht="15.75" x14ac:dyDescent="0.25">
      <c r="B671" s="7" t="s">
        <v>7</v>
      </c>
      <c r="C671" s="1">
        <v>1</v>
      </c>
      <c r="D671" s="1">
        <v>2</v>
      </c>
      <c r="E671" s="1">
        <v>3</v>
      </c>
      <c r="F671" s="1">
        <v>4</v>
      </c>
      <c r="G671" s="1">
        <v>5</v>
      </c>
      <c r="H671" s="77">
        <v>6</v>
      </c>
      <c r="I671" s="160" t="s">
        <v>313</v>
      </c>
      <c r="J671" s="161"/>
      <c r="K671" s="161"/>
      <c r="L671" s="161"/>
      <c r="M671" s="161"/>
      <c r="N671" s="162"/>
    </row>
    <row r="672" spans="2:14" ht="47.25" x14ac:dyDescent="0.25">
      <c r="B672" s="143" t="s">
        <v>10</v>
      </c>
      <c r="C672" s="19">
        <v>82</v>
      </c>
      <c r="D672" s="19">
        <v>80</v>
      </c>
      <c r="E672" s="19">
        <v>89</v>
      </c>
      <c r="F672" s="19">
        <v>65</v>
      </c>
      <c r="G672" s="19">
        <v>56</v>
      </c>
      <c r="H672" s="95">
        <v>52</v>
      </c>
      <c r="I672" s="163"/>
      <c r="J672" s="164"/>
      <c r="K672" s="164"/>
      <c r="L672" s="164"/>
      <c r="M672" s="164"/>
      <c r="N672" s="165"/>
    </row>
    <row r="673" spans="2:14" ht="16.5" thickBot="1" x14ac:dyDescent="0.3">
      <c r="B673" s="94" t="s">
        <v>12</v>
      </c>
      <c r="C673" s="93">
        <v>90</v>
      </c>
      <c r="D673" s="93">
        <v>89</v>
      </c>
      <c r="E673" s="93">
        <v>92</v>
      </c>
      <c r="F673" s="93">
        <v>63</v>
      </c>
      <c r="G673" s="93">
        <v>65</v>
      </c>
      <c r="H673" s="97">
        <v>59</v>
      </c>
      <c r="I673" s="166"/>
      <c r="J673" s="167"/>
      <c r="K673" s="167"/>
      <c r="L673" s="167"/>
      <c r="M673" s="167"/>
      <c r="N673" s="168"/>
    </row>
    <row r="674" spans="2:14" ht="15.75" thickBot="1" x14ac:dyDescent="0.3"/>
    <row r="675" spans="2:14" ht="15.75" x14ac:dyDescent="0.25">
      <c r="B675" s="2" t="s">
        <v>0</v>
      </c>
      <c r="C675" s="144" t="s">
        <v>202</v>
      </c>
      <c r="D675" s="145"/>
      <c r="E675" s="146" t="s">
        <v>1</v>
      </c>
      <c r="F675" s="147"/>
      <c r="G675" s="11">
        <v>140</v>
      </c>
      <c r="H675" s="158" t="s">
        <v>2</v>
      </c>
      <c r="I675" s="149"/>
      <c r="J675" s="150"/>
      <c r="K675" s="13">
        <v>140</v>
      </c>
      <c r="L675" s="3"/>
      <c r="M675" s="80" t="s">
        <v>11</v>
      </c>
      <c r="N675" s="98">
        <v>45920</v>
      </c>
    </row>
    <row r="676" spans="2:14" ht="15.75" x14ac:dyDescent="0.25">
      <c r="B676" s="4" t="s">
        <v>3</v>
      </c>
      <c r="C676" s="10">
        <v>32835</v>
      </c>
      <c r="D676" s="159" t="s">
        <v>57</v>
      </c>
      <c r="E676" s="152"/>
      <c r="F676" s="153"/>
      <c r="G676" s="18">
        <v>3650</v>
      </c>
      <c r="H676" s="157" t="s">
        <v>4</v>
      </c>
      <c r="I676" s="155"/>
      <c r="J676" s="156"/>
      <c r="K676" s="113">
        <v>60</v>
      </c>
      <c r="L676" s="15"/>
      <c r="M676" s="15"/>
      <c r="N676" s="16"/>
    </row>
    <row r="677" spans="2:14" ht="15.75" x14ac:dyDescent="0.25">
      <c r="B677" s="4" t="s">
        <v>5</v>
      </c>
      <c r="C677" s="19">
        <v>43</v>
      </c>
      <c r="D677" s="159" t="s">
        <v>8</v>
      </c>
      <c r="E677" s="152"/>
      <c r="F677" s="153"/>
      <c r="G677" s="17">
        <v>0.28000000000000003</v>
      </c>
      <c r="H677" s="157" t="s">
        <v>254</v>
      </c>
      <c r="I677" s="155"/>
      <c r="J677" s="156"/>
      <c r="K677" s="12">
        <v>0.92</v>
      </c>
      <c r="L677" s="157" t="s">
        <v>6</v>
      </c>
      <c r="M677" s="156"/>
      <c r="N677" s="20">
        <v>3.38</v>
      </c>
    </row>
    <row r="678" spans="2:14" ht="16.5" thickBot="1" x14ac:dyDescent="0.3">
      <c r="B678" s="5"/>
      <c r="C678" s="9"/>
      <c r="D678" s="9"/>
      <c r="E678" s="9"/>
      <c r="F678" s="9"/>
      <c r="G678" s="9"/>
      <c r="H678" s="79"/>
      <c r="I678" s="21"/>
      <c r="J678" s="21"/>
      <c r="K678" s="21"/>
      <c r="L678" s="21"/>
      <c r="M678" s="21"/>
      <c r="N678" s="6"/>
    </row>
    <row r="679" spans="2:14" ht="15.75" x14ac:dyDescent="0.25">
      <c r="B679" s="7" t="s">
        <v>7</v>
      </c>
      <c r="C679" s="1">
        <v>1</v>
      </c>
      <c r="D679" s="1">
        <v>2</v>
      </c>
      <c r="E679" s="1">
        <v>3</v>
      </c>
      <c r="F679" s="1">
        <v>4</v>
      </c>
      <c r="G679" s="1">
        <v>5</v>
      </c>
      <c r="H679" s="77">
        <v>6</v>
      </c>
      <c r="I679" s="160" t="s">
        <v>314</v>
      </c>
      <c r="J679" s="161"/>
      <c r="K679" s="161"/>
      <c r="L679" s="161"/>
      <c r="M679" s="161"/>
      <c r="N679" s="162"/>
    </row>
    <row r="680" spans="2:14" ht="47.25" x14ac:dyDescent="0.25">
      <c r="B680" s="143" t="s">
        <v>10</v>
      </c>
      <c r="C680" s="19">
        <v>60</v>
      </c>
      <c r="D680" s="19">
        <v>50</v>
      </c>
      <c r="E680" s="19">
        <v>38</v>
      </c>
      <c r="F680" s="19">
        <v>36</v>
      </c>
      <c r="G680" s="19">
        <v>34</v>
      </c>
      <c r="H680" s="95">
        <v>40</v>
      </c>
      <c r="I680" s="163"/>
      <c r="J680" s="164"/>
      <c r="K680" s="164"/>
      <c r="L680" s="164"/>
      <c r="M680" s="164"/>
      <c r="N680" s="165"/>
    </row>
    <row r="681" spans="2:14" ht="16.5" thickBot="1" x14ac:dyDescent="0.3">
      <c r="B681" s="94" t="s">
        <v>12</v>
      </c>
      <c r="C681" s="93">
        <v>107</v>
      </c>
      <c r="D681" s="93">
        <v>72</v>
      </c>
      <c r="E681" s="93">
        <v>78</v>
      </c>
      <c r="F681" s="93">
        <v>71</v>
      </c>
      <c r="G681" s="93">
        <v>55</v>
      </c>
      <c r="H681" s="97">
        <v>81</v>
      </c>
      <c r="I681" s="166"/>
      <c r="J681" s="167"/>
      <c r="K681" s="167"/>
      <c r="L681" s="167"/>
      <c r="M681" s="167"/>
      <c r="N681" s="168"/>
    </row>
    <row r="682" spans="2:14" ht="15.75" thickBot="1" x14ac:dyDescent="0.3"/>
    <row r="683" spans="2:14" ht="15.75" x14ac:dyDescent="0.25">
      <c r="B683" s="2" t="s">
        <v>0</v>
      </c>
      <c r="C683" s="144" t="s">
        <v>202</v>
      </c>
      <c r="D683" s="145"/>
      <c r="E683" s="146" t="s">
        <v>1</v>
      </c>
      <c r="F683" s="147"/>
      <c r="G683" s="11">
        <v>140</v>
      </c>
      <c r="H683" s="158" t="s">
        <v>2</v>
      </c>
      <c r="I683" s="149"/>
      <c r="J683" s="150"/>
      <c r="K683" s="13">
        <v>140</v>
      </c>
      <c r="L683" s="3"/>
      <c r="M683" s="80" t="s">
        <v>11</v>
      </c>
      <c r="N683" s="98">
        <v>45927</v>
      </c>
    </row>
    <row r="684" spans="2:14" ht="15.75" x14ac:dyDescent="0.25">
      <c r="B684" s="4" t="s">
        <v>3</v>
      </c>
      <c r="C684" s="10">
        <v>32835</v>
      </c>
      <c r="D684" s="159" t="s">
        <v>57</v>
      </c>
      <c r="E684" s="152"/>
      <c r="F684" s="153"/>
      <c r="G684" s="18">
        <v>3650</v>
      </c>
      <c r="H684" s="157" t="s">
        <v>4</v>
      </c>
      <c r="I684" s="155"/>
      <c r="J684" s="156"/>
      <c r="K684" s="113">
        <v>57</v>
      </c>
      <c r="L684" s="15"/>
      <c r="M684" s="15"/>
      <c r="N684" s="16"/>
    </row>
    <row r="685" spans="2:14" ht="15.75" x14ac:dyDescent="0.25">
      <c r="B685" s="4" t="s">
        <v>5</v>
      </c>
      <c r="C685" s="19">
        <v>43</v>
      </c>
      <c r="D685" s="159" t="s">
        <v>8</v>
      </c>
      <c r="E685" s="152"/>
      <c r="F685" s="153"/>
      <c r="G685" s="17">
        <v>0.28000000000000003</v>
      </c>
      <c r="H685" s="157" t="s">
        <v>254</v>
      </c>
      <c r="I685" s="155"/>
      <c r="J685" s="156"/>
      <c r="K685" s="12">
        <v>0.92</v>
      </c>
      <c r="L685" s="157" t="s">
        <v>6</v>
      </c>
      <c r="M685" s="156"/>
      <c r="N685" s="20">
        <v>3.38</v>
      </c>
    </row>
    <row r="686" spans="2:14" ht="16.5" thickBot="1" x14ac:dyDescent="0.3">
      <c r="B686" s="5"/>
      <c r="C686" s="9"/>
      <c r="D686" s="9"/>
      <c r="E686" s="9"/>
      <c r="F686" s="9"/>
      <c r="G686" s="9"/>
      <c r="H686" s="79"/>
      <c r="I686" s="21"/>
      <c r="J686" s="21"/>
      <c r="K686" s="21"/>
      <c r="L686" s="21"/>
      <c r="M686" s="21"/>
      <c r="N686" s="6"/>
    </row>
    <row r="687" spans="2:14" ht="15.75" x14ac:dyDescent="0.25">
      <c r="B687" s="7" t="s">
        <v>7</v>
      </c>
      <c r="C687" s="1">
        <v>1</v>
      </c>
      <c r="D687" s="1">
        <v>2</v>
      </c>
      <c r="E687" s="1">
        <v>3</v>
      </c>
      <c r="F687" s="1">
        <v>4</v>
      </c>
      <c r="G687" s="1">
        <v>5</v>
      </c>
      <c r="H687" s="77">
        <v>6</v>
      </c>
      <c r="I687" s="160" t="s">
        <v>315</v>
      </c>
      <c r="J687" s="161"/>
      <c r="K687" s="161"/>
      <c r="L687" s="161"/>
      <c r="M687" s="161"/>
      <c r="N687" s="162"/>
    </row>
    <row r="688" spans="2:14" ht="47.25" x14ac:dyDescent="0.25">
      <c r="B688" s="143" t="s">
        <v>10</v>
      </c>
      <c r="C688" s="19">
        <v>66</v>
      </c>
      <c r="D688" s="19">
        <v>51</v>
      </c>
      <c r="E688" s="19">
        <v>39</v>
      </c>
      <c r="F688" s="19">
        <v>36</v>
      </c>
      <c r="G688" s="19">
        <v>34</v>
      </c>
      <c r="H688" s="95">
        <v>42</v>
      </c>
      <c r="I688" s="163"/>
      <c r="J688" s="164"/>
      <c r="K688" s="164"/>
      <c r="L688" s="164"/>
      <c r="M688" s="164"/>
      <c r="N688" s="165"/>
    </row>
    <row r="689" spans="2:14" ht="16.5" thickBot="1" x14ac:dyDescent="0.3">
      <c r="B689" s="94" t="s">
        <v>12</v>
      </c>
      <c r="C689" s="93">
        <v>107</v>
      </c>
      <c r="D689" s="93">
        <v>72</v>
      </c>
      <c r="E689" s="93">
        <v>78</v>
      </c>
      <c r="F689" s="93">
        <v>71</v>
      </c>
      <c r="G689" s="93">
        <v>55</v>
      </c>
      <c r="H689" s="97">
        <v>81</v>
      </c>
      <c r="I689" s="166"/>
      <c r="J689" s="167"/>
      <c r="K689" s="167"/>
      <c r="L689" s="167"/>
      <c r="M689" s="167"/>
      <c r="N689" s="168"/>
    </row>
    <row r="690" spans="2:14" ht="15.75" thickBot="1" x14ac:dyDescent="0.3"/>
    <row r="691" spans="2:14" ht="15.75" x14ac:dyDescent="0.25">
      <c r="B691" s="2" t="s">
        <v>0</v>
      </c>
      <c r="C691" s="144" t="s">
        <v>202</v>
      </c>
      <c r="D691" s="145"/>
      <c r="E691" s="146" t="s">
        <v>1</v>
      </c>
      <c r="F691" s="147"/>
      <c r="G691" s="11">
        <v>140</v>
      </c>
      <c r="H691" s="158" t="s">
        <v>2</v>
      </c>
      <c r="I691" s="149"/>
      <c r="J691" s="150"/>
      <c r="K691" s="13">
        <v>140</v>
      </c>
      <c r="L691" s="3"/>
      <c r="M691" s="80" t="s">
        <v>11</v>
      </c>
      <c r="N691" s="98">
        <v>45934</v>
      </c>
    </row>
    <row r="692" spans="2:14" ht="15.75" x14ac:dyDescent="0.25">
      <c r="B692" s="4" t="s">
        <v>3</v>
      </c>
      <c r="C692" s="10">
        <v>33100</v>
      </c>
      <c r="D692" s="159" t="s">
        <v>57</v>
      </c>
      <c r="E692" s="152"/>
      <c r="F692" s="153"/>
      <c r="G692" s="18">
        <v>3650</v>
      </c>
      <c r="H692" s="157" t="s">
        <v>4</v>
      </c>
      <c r="I692" s="155"/>
      <c r="J692" s="156"/>
      <c r="K692" s="113">
        <v>57</v>
      </c>
      <c r="L692" s="15"/>
      <c r="M692" s="15"/>
      <c r="N692" s="16"/>
    </row>
    <row r="693" spans="2:14" ht="15.75" x14ac:dyDescent="0.25">
      <c r="B693" s="4" t="s">
        <v>5</v>
      </c>
      <c r="C693" s="19">
        <v>43</v>
      </c>
      <c r="D693" s="159" t="s">
        <v>8</v>
      </c>
      <c r="E693" s="152"/>
      <c r="F693" s="153"/>
      <c r="G693" s="17">
        <v>0.28000000000000003</v>
      </c>
      <c r="H693" s="157" t="s">
        <v>254</v>
      </c>
      <c r="I693" s="155"/>
      <c r="J693" s="156"/>
      <c r="K693" s="12">
        <v>0.92</v>
      </c>
      <c r="L693" s="157" t="s">
        <v>6</v>
      </c>
      <c r="M693" s="156"/>
      <c r="N693" s="20">
        <v>3.38</v>
      </c>
    </row>
    <row r="694" spans="2:14" ht="16.5" thickBot="1" x14ac:dyDescent="0.3">
      <c r="B694" s="5"/>
      <c r="C694" s="9"/>
      <c r="D694" s="9"/>
      <c r="E694" s="9"/>
      <c r="F694" s="9"/>
      <c r="G694" s="9"/>
      <c r="H694" s="79"/>
      <c r="I694" s="21"/>
      <c r="J694" s="21"/>
      <c r="K694" s="21"/>
      <c r="L694" s="21"/>
      <c r="M694" s="21"/>
      <c r="N694" s="6"/>
    </row>
    <row r="695" spans="2:14" ht="15.75" x14ac:dyDescent="0.25">
      <c r="B695" s="7" t="s">
        <v>7</v>
      </c>
      <c r="C695" s="1">
        <v>1</v>
      </c>
      <c r="D695" s="1">
        <v>2</v>
      </c>
      <c r="E695" s="1">
        <v>3</v>
      </c>
      <c r="F695" s="1">
        <v>4</v>
      </c>
      <c r="G695" s="1">
        <v>5</v>
      </c>
      <c r="H695" s="77">
        <v>6</v>
      </c>
      <c r="I695" s="160" t="s">
        <v>316</v>
      </c>
      <c r="J695" s="161"/>
      <c r="K695" s="161"/>
      <c r="L695" s="161"/>
      <c r="M695" s="161"/>
      <c r="N695" s="162"/>
    </row>
    <row r="696" spans="2:14" ht="47.25" x14ac:dyDescent="0.25">
      <c r="B696" s="143" t="s">
        <v>10</v>
      </c>
      <c r="C696" s="19">
        <v>68</v>
      </c>
      <c r="D696" s="19">
        <v>51</v>
      </c>
      <c r="E696" s="19">
        <v>39</v>
      </c>
      <c r="F696" s="19">
        <v>36</v>
      </c>
      <c r="G696" s="19">
        <v>37</v>
      </c>
      <c r="H696" s="95">
        <v>42</v>
      </c>
      <c r="I696" s="163"/>
      <c r="J696" s="164"/>
      <c r="K696" s="164"/>
      <c r="L696" s="164"/>
      <c r="M696" s="164"/>
      <c r="N696" s="165"/>
    </row>
    <row r="697" spans="2:14" ht="16.5" thickBot="1" x14ac:dyDescent="0.3">
      <c r="B697" s="94" t="s">
        <v>12</v>
      </c>
      <c r="C697" s="93">
        <v>106</v>
      </c>
      <c r="D697" s="93">
        <v>72</v>
      </c>
      <c r="E697" s="93">
        <v>78</v>
      </c>
      <c r="F697" s="93">
        <v>71</v>
      </c>
      <c r="G697" s="93">
        <v>55</v>
      </c>
      <c r="H697" s="97">
        <v>81</v>
      </c>
      <c r="I697" s="166"/>
      <c r="J697" s="167"/>
      <c r="K697" s="167"/>
      <c r="L697" s="167"/>
      <c r="M697" s="167"/>
      <c r="N697" s="168"/>
    </row>
    <row r="698" spans="2:14" ht="15.75" thickBot="1" x14ac:dyDescent="0.3"/>
    <row r="699" spans="2:14" ht="15.75" x14ac:dyDescent="0.25">
      <c r="B699" s="2" t="s">
        <v>0</v>
      </c>
      <c r="C699" s="144" t="s">
        <v>202</v>
      </c>
      <c r="D699" s="145"/>
      <c r="E699" s="146" t="s">
        <v>1</v>
      </c>
      <c r="F699" s="147"/>
      <c r="G699" s="11">
        <v>140</v>
      </c>
      <c r="H699" s="158" t="s">
        <v>2</v>
      </c>
      <c r="I699" s="149"/>
      <c r="J699" s="150"/>
      <c r="K699" s="13">
        <v>140</v>
      </c>
      <c r="L699" s="3"/>
      <c r="M699" s="80" t="s">
        <v>11</v>
      </c>
      <c r="N699" s="98">
        <v>45941</v>
      </c>
    </row>
    <row r="700" spans="2:14" ht="15.75" x14ac:dyDescent="0.25">
      <c r="B700" s="4" t="s">
        <v>3</v>
      </c>
      <c r="C700" s="10">
        <v>33151</v>
      </c>
      <c r="D700" s="159" t="s">
        <v>57</v>
      </c>
      <c r="E700" s="152"/>
      <c r="F700" s="153"/>
      <c r="G700" s="18">
        <v>3650</v>
      </c>
      <c r="H700" s="157" t="s">
        <v>4</v>
      </c>
      <c r="I700" s="155"/>
      <c r="J700" s="156"/>
      <c r="K700" s="113">
        <v>63</v>
      </c>
      <c r="L700" s="15"/>
      <c r="M700" s="15"/>
      <c r="N700" s="16"/>
    </row>
    <row r="701" spans="2:14" ht="15.75" x14ac:dyDescent="0.25">
      <c r="B701" s="4" t="s">
        <v>5</v>
      </c>
      <c r="C701" s="19">
        <v>50</v>
      </c>
      <c r="D701" s="159" t="s">
        <v>8</v>
      </c>
      <c r="E701" s="152"/>
      <c r="F701" s="153"/>
      <c r="G701" s="17">
        <v>0.28000000000000003</v>
      </c>
      <c r="H701" s="157" t="s">
        <v>254</v>
      </c>
      <c r="I701" s="155"/>
      <c r="J701" s="156"/>
      <c r="K701" s="12">
        <v>0.92</v>
      </c>
      <c r="L701" s="157" t="s">
        <v>6</v>
      </c>
      <c r="M701" s="156"/>
      <c r="N701" s="20">
        <v>3.38</v>
      </c>
    </row>
    <row r="702" spans="2:14" ht="16.5" thickBot="1" x14ac:dyDescent="0.3">
      <c r="B702" s="5"/>
      <c r="C702" s="9"/>
      <c r="D702" s="9"/>
      <c r="E702" s="9"/>
      <c r="F702" s="9"/>
      <c r="G702" s="9"/>
      <c r="H702" s="79"/>
      <c r="I702" s="21"/>
      <c r="J702" s="21"/>
      <c r="K702" s="21"/>
      <c r="L702" s="21"/>
      <c r="M702" s="21"/>
      <c r="N702" s="6"/>
    </row>
    <row r="703" spans="2:14" ht="15.75" x14ac:dyDescent="0.25">
      <c r="B703" s="7" t="s">
        <v>7</v>
      </c>
      <c r="C703" s="1">
        <v>1</v>
      </c>
      <c r="D703" s="1">
        <v>2</v>
      </c>
      <c r="E703" s="1">
        <v>3</v>
      </c>
      <c r="F703" s="1">
        <v>4</v>
      </c>
      <c r="G703" s="1">
        <v>5</v>
      </c>
      <c r="H703" s="77">
        <v>6</v>
      </c>
      <c r="I703" s="160" t="s">
        <v>317</v>
      </c>
      <c r="J703" s="161"/>
      <c r="K703" s="161"/>
      <c r="L703" s="161"/>
      <c r="M703" s="161"/>
      <c r="N703" s="162"/>
    </row>
    <row r="704" spans="2:14" ht="47.25" x14ac:dyDescent="0.25">
      <c r="B704" s="143" t="s">
        <v>10</v>
      </c>
      <c r="C704" s="19">
        <v>68</v>
      </c>
      <c r="D704" s="19">
        <v>51</v>
      </c>
      <c r="E704" s="19">
        <v>39</v>
      </c>
      <c r="F704" s="19">
        <v>36</v>
      </c>
      <c r="G704" s="19">
        <v>37</v>
      </c>
      <c r="H704" s="95">
        <v>42</v>
      </c>
      <c r="I704" s="163"/>
      <c r="J704" s="164"/>
      <c r="K704" s="164"/>
      <c r="L704" s="164"/>
      <c r="M704" s="164"/>
      <c r="N704" s="165"/>
    </row>
    <row r="705" spans="2:14" ht="16.5" thickBot="1" x14ac:dyDescent="0.3">
      <c r="B705" s="94" t="s">
        <v>12</v>
      </c>
      <c r="C705" s="93">
        <v>106</v>
      </c>
      <c r="D705" s="93">
        <v>72</v>
      </c>
      <c r="E705" s="93">
        <v>78</v>
      </c>
      <c r="F705" s="93">
        <v>71</v>
      </c>
      <c r="G705" s="93">
        <v>55</v>
      </c>
      <c r="H705" s="97">
        <v>81</v>
      </c>
      <c r="I705" s="166"/>
      <c r="J705" s="167"/>
      <c r="K705" s="167"/>
      <c r="L705" s="167"/>
      <c r="M705" s="167"/>
      <c r="N705" s="168"/>
    </row>
    <row r="706" spans="2:14" ht="15.75" thickBot="1" x14ac:dyDescent="0.3"/>
    <row r="707" spans="2:14" ht="15.75" x14ac:dyDescent="0.25">
      <c r="B707" s="2" t="s">
        <v>0</v>
      </c>
      <c r="C707" s="144" t="s">
        <v>202</v>
      </c>
      <c r="D707" s="145"/>
      <c r="E707" s="146" t="s">
        <v>1</v>
      </c>
      <c r="F707" s="147"/>
      <c r="G707" s="11">
        <v>140</v>
      </c>
      <c r="H707" s="158" t="s">
        <v>2</v>
      </c>
      <c r="I707" s="149"/>
      <c r="J707" s="150"/>
      <c r="K707" s="13">
        <v>140</v>
      </c>
      <c r="L707" s="3"/>
      <c r="M707" s="80" t="s">
        <v>11</v>
      </c>
      <c r="N707" s="98">
        <v>45948</v>
      </c>
    </row>
    <row r="708" spans="2:14" ht="15.75" x14ac:dyDescent="0.25">
      <c r="B708" s="4" t="s">
        <v>3</v>
      </c>
      <c r="C708" s="10">
        <v>33318</v>
      </c>
      <c r="D708" s="159" t="s">
        <v>57</v>
      </c>
      <c r="E708" s="152"/>
      <c r="F708" s="153"/>
      <c r="G708" s="18">
        <v>7800</v>
      </c>
      <c r="H708" s="157" t="s">
        <v>4</v>
      </c>
      <c r="I708" s="155"/>
      <c r="J708" s="156"/>
      <c r="K708" s="113">
        <v>63</v>
      </c>
      <c r="L708" s="15"/>
      <c r="M708" s="15"/>
      <c r="N708" s="16"/>
    </row>
    <row r="709" spans="2:14" ht="15.75" x14ac:dyDescent="0.25">
      <c r="B709" s="4" t="s">
        <v>5</v>
      </c>
      <c r="C709" s="19">
        <v>70</v>
      </c>
      <c r="D709" s="159" t="s">
        <v>8</v>
      </c>
      <c r="E709" s="152"/>
      <c r="F709" s="153"/>
      <c r="G709" s="17">
        <v>0.28000000000000003</v>
      </c>
      <c r="H709" s="157" t="s">
        <v>254</v>
      </c>
      <c r="I709" s="155"/>
      <c r="J709" s="156"/>
      <c r="K709" s="12">
        <v>0.92</v>
      </c>
      <c r="L709" s="157" t="s">
        <v>6</v>
      </c>
      <c r="M709" s="156"/>
      <c r="N709" s="20">
        <v>3.38</v>
      </c>
    </row>
    <row r="710" spans="2:14" ht="16.5" thickBot="1" x14ac:dyDescent="0.3">
      <c r="B710" s="5"/>
      <c r="C710" s="9"/>
      <c r="D710" s="9"/>
      <c r="E710" s="9"/>
      <c r="F710" s="9"/>
      <c r="G710" s="9"/>
      <c r="H710" s="79"/>
      <c r="I710" s="21"/>
      <c r="J710" s="21"/>
      <c r="K710" s="21"/>
      <c r="L710" s="21"/>
      <c r="M710" s="21"/>
      <c r="N710" s="6"/>
    </row>
    <row r="711" spans="2:14" ht="15.75" x14ac:dyDescent="0.25">
      <c r="B711" s="7" t="s">
        <v>7</v>
      </c>
      <c r="C711" s="1">
        <v>1</v>
      </c>
      <c r="D711" s="1">
        <v>2</v>
      </c>
      <c r="E711" s="1">
        <v>3</v>
      </c>
      <c r="F711" s="1">
        <v>4</v>
      </c>
      <c r="G711" s="1">
        <v>5</v>
      </c>
      <c r="H711" s="77">
        <v>6</v>
      </c>
      <c r="I711" s="160" t="s">
        <v>318</v>
      </c>
      <c r="J711" s="161"/>
      <c r="K711" s="161"/>
      <c r="L711" s="161"/>
      <c r="M711" s="161"/>
      <c r="N711" s="162"/>
    </row>
    <row r="712" spans="2:14" ht="47.25" x14ac:dyDescent="0.25">
      <c r="B712" s="143" t="s">
        <v>10</v>
      </c>
      <c r="C712" s="19">
        <v>42</v>
      </c>
      <c r="D712" s="19">
        <v>24</v>
      </c>
      <c r="E712" s="19">
        <v>33</v>
      </c>
      <c r="F712" s="19">
        <v>28</v>
      </c>
      <c r="G712" s="19">
        <v>30</v>
      </c>
      <c r="H712" s="95">
        <v>27</v>
      </c>
      <c r="I712" s="163"/>
      <c r="J712" s="164"/>
      <c r="K712" s="164"/>
      <c r="L712" s="164"/>
      <c r="M712" s="164"/>
      <c r="N712" s="165"/>
    </row>
    <row r="713" spans="2:14" ht="16.5" thickBot="1" x14ac:dyDescent="0.3">
      <c r="B713" s="94" t="s">
        <v>12</v>
      </c>
      <c r="C713" s="93">
        <v>39</v>
      </c>
      <c r="D713" s="93">
        <v>80</v>
      </c>
      <c r="E713" s="93">
        <v>110</v>
      </c>
      <c r="F713" s="93">
        <v>22</v>
      </c>
      <c r="G713" s="93">
        <v>27</v>
      </c>
      <c r="H713" s="97">
        <v>28</v>
      </c>
      <c r="I713" s="166"/>
      <c r="J713" s="167"/>
      <c r="K713" s="167"/>
      <c r="L713" s="167"/>
      <c r="M713" s="167"/>
      <c r="N713" s="168"/>
    </row>
    <row r="714" spans="2:14" ht="15.75" thickBot="1" x14ac:dyDescent="0.3"/>
    <row r="715" spans="2:14" ht="15.75" x14ac:dyDescent="0.25">
      <c r="B715" s="2" t="s">
        <v>0</v>
      </c>
      <c r="C715" s="144" t="s">
        <v>202</v>
      </c>
      <c r="D715" s="145"/>
      <c r="E715" s="146" t="s">
        <v>1</v>
      </c>
      <c r="F715" s="147"/>
      <c r="G715" s="11">
        <v>140</v>
      </c>
      <c r="H715" s="158" t="s">
        <v>2</v>
      </c>
      <c r="I715" s="149"/>
      <c r="J715" s="150"/>
      <c r="K715" s="13">
        <v>140</v>
      </c>
      <c r="L715" s="3"/>
      <c r="M715" s="80" t="s">
        <v>11</v>
      </c>
      <c r="N715" s="98">
        <v>45955</v>
      </c>
    </row>
    <row r="716" spans="2:14" ht="15.75" x14ac:dyDescent="0.25">
      <c r="B716" s="4" t="s">
        <v>3</v>
      </c>
      <c r="C716" s="10">
        <v>33450</v>
      </c>
      <c r="D716" s="159" t="s">
        <v>57</v>
      </c>
      <c r="E716" s="152"/>
      <c r="F716" s="153"/>
      <c r="G716" s="18">
        <v>7900</v>
      </c>
      <c r="H716" s="157" t="s">
        <v>4</v>
      </c>
      <c r="I716" s="155"/>
      <c r="J716" s="156"/>
      <c r="K716" s="113">
        <v>61</v>
      </c>
      <c r="L716" s="15"/>
      <c r="M716" s="15"/>
      <c r="N716" s="16"/>
    </row>
    <row r="717" spans="2:14" ht="15.75" x14ac:dyDescent="0.25">
      <c r="B717" s="4" t="s">
        <v>5</v>
      </c>
      <c r="C717" s="19">
        <v>68</v>
      </c>
      <c r="D717" s="159" t="s">
        <v>8</v>
      </c>
      <c r="E717" s="152"/>
      <c r="F717" s="153"/>
      <c r="G717" s="17">
        <v>0.28000000000000003</v>
      </c>
      <c r="H717" s="157" t="s">
        <v>254</v>
      </c>
      <c r="I717" s="155"/>
      <c r="J717" s="156"/>
      <c r="K717" s="12">
        <v>0.92</v>
      </c>
      <c r="L717" s="157" t="s">
        <v>6</v>
      </c>
      <c r="M717" s="156"/>
      <c r="N717" s="20">
        <v>3.38</v>
      </c>
    </row>
    <row r="718" spans="2:14" ht="16.5" thickBot="1" x14ac:dyDescent="0.3">
      <c r="B718" s="5"/>
      <c r="C718" s="9"/>
      <c r="D718" s="9"/>
      <c r="E718" s="9"/>
      <c r="F718" s="9"/>
      <c r="G718" s="9"/>
      <c r="H718" s="79"/>
      <c r="I718" s="21"/>
      <c r="J718" s="21"/>
      <c r="K718" s="21"/>
      <c r="L718" s="21"/>
      <c r="M718" s="21"/>
      <c r="N718" s="6"/>
    </row>
    <row r="719" spans="2:14" ht="15.75" x14ac:dyDescent="0.25">
      <c r="B719" s="7" t="s">
        <v>7</v>
      </c>
      <c r="C719" s="1">
        <v>1</v>
      </c>
      <c r="D719" s="1">
        <v>2</v>
      </c>
      <c r="E719" s="1">
        <v>3</v>
      </c>
      <c r="F719" s="1">
        <v>4</v>
      </c>
      <c r="G719" s="1">
        <v>5</v>
      </c>
      <c r="H719" s="77">
        <v>6</v>
      </c>
      <c r="I719" s="160" t="s">
        <v>319</v>
      </c>
      <c r="J719" s="161"/>
      <c r="K719" s="161"/>
      <c r="L719" s="161"/>
      <c r="M719" s="161"/>
      <c r="N719" s="162"/>
    </row>
    <row r="720" spans="2:14" ht="47.25" x14ac:dyDescent="0.25">
      <c r="B720" s="143" t="s">
        <v>10</v>
      </c>
      <c r="C720" s="19">
        <v>19</v>
      </c>
      <c r="D720" s="19">
        <v>49</v>
      </c>
      <c r="E720" s="19">
        <v>13</v>
      </c>
      <c r="F720" s="19">
        <v>49</v>
      </c>
      <c r="G720" s="19">
        <v>50</v>
      </c>
      <c r="H720" s="95">
        <v>49</v>
      </c>
      <c r="I720" s="163"/>
      <c r="J720" s="164"/>
      <c r="K720" s="164"/>
      <c r="L720" s="164"/>
      <c r="M720" s="164"/>
      <c r="N720" s="165"/>
    </row>
    <row r="721" spans="2:14" ht="16.5" thickBot="1" x14ac:dyDescent="0.3">
      <c r="B721" s="94" t="s">
        <v>12</v>
      </c>
      <c r="C721" s="93">
        <v>100</v>
      </c>
      <c r="D721" s="93">
        <v>60</v>
      </c>
      <c r="E721" s="93">
        <v>36</v>
      </c>
      <c r="F721" s="93">
        <v>30</v>
      </c>
      <c r="G721" s="93">
        <v>25</v>
      </c>
      <c r="H721" s="97">
        <v>22</v>
      </c>
      <c r="I721" s="166"/>
      <c r="J721" s="167"/>
      <c r="K721" s="167"/>
      <c r="L721" s="167"/>
      <c r="M721" s="167"/>
      <c r="N721" s="168"/>
    </row>
    <row r="722" spans="2:14" ht="15.75" thickBot="1" x14ac:dyDescent="0.3"/>
    <row r="723" spans="2:14" ht="15.75" x14ac:dyDescent="0.25">
      <c r="B723" s="2" t="s">
        <v>0</v>
      </c>
      <c r="C723" s="144" t="s">
        <v>202</v>
      </c>
      <c r="D723" s="145"/>
      <c r="E723" s="146" t="s">
        <v>1</v>
      </c>
      <c r="F723" s="147"/>
      <c r="G723" s="11">
        <v>140</v>
      </c>
      <c r="H723" s="158" t="s">
        <v>2</v>
      </c>
      <c r="I723" s="149"/>
      <c r="J723" s="150"/>
      <c r="K723" s="13">
        <v>140</v>
      </c>
      <c r="L723" s="3"/>
      <c r="M723" s="80" t="s">
        <v>11</v>
      </c>
      <c r="N723" s="98">
        <v>45962</v>
      </c>
    </row>
    <row r="724" spans="2:14" ht="15.75" x14ac:dyDescent="0.25">
      <c r="B724" s="4" t="s">
        <v>3</v>
      </c>
      <c r="C724" s="10">
        <v>33450</v>
      </c>
      <c r="D724" s="159" t="s">
        <v>57</v>
      </c>
      <c r="E724" s="152"/>
      <c r="F724" s="153"/>
      <c r="G724" s="18">
        <v>3087</v>
      </c>
      <c r="H724" s="157" t="s">
        <v>4</v>
      </c>
      <c r="I724" s="155"/>
      <c r="J724" s="156"/>
      <c r="K724" s="113">
        <v>50</v>
      </c>
      <c r="L724" s="15"/>
      <c r="M724" s="15"/>
      <c r="N724" s="16"/>
    </row>
    <row r="725" spans="2:14" ht="15.75" x14ac:dyDescent="0.25">
      <c r="B725" s="4" t="s">
        <v>5</v>
      </c>
      <c r="C725" s="19">
        <v>47</v>
      </c>
      <c r="D725" s="159" t="s">
        <v>8</v>
      </c>
      <c r="E725" s="152"/>
      <c r="F725" s="153"/>
      <c r="G725" s="17">
        <v>0.28000000000000003</v>
      </c>
      <c r="H725" s="157" t="s">
        <v>254</v>
      </c>
      <c r="I725" s="155"/>
      <c r="J725" s="156"/>
      <c r="K725" s="12">
        <v>0.92</v>
      </c>
      <c r="L725" s="157" t="s">
        <v>6</v>
      </c>
      <c r="M725" s="156"/>
      <c r="N725" s="20">
        <v>2.42</v>
      </c>
    </row>
    <row r="726" spans="2:14" ht="16.5" thickBot="1" x14ac:dyDescent="0.3">
      <c r="B726" s="5"/>
      <c r="C726" s="9"/>
      <c r="D726" s="9"/>
      <c r="E726" s="9"/>
      <c r="F726" s="9"/>
      <c r="G726" s="9"/>
      <c r="H726" s="79"/>
      <c r="I726" s="21"/>
      <c r="J726" s="21"/>
      <c r="K726" s="21"/>
      <c r="L726" s="21"/>
      <c r="M726" s="21"/>
      <c r="N726" s="6"/>
    </row>
    <row r="727" spans="2:14" ht="15.75" x14ac:dyDescent="0.25">
      <c r="B727" s="7" t="s">
        <v>7</v>
      </c>
      <c r="C727" s="1">
        <v>1</v>
      </c>
      <c r="D727" s="1">
        <v>2</v>
      </c>
      <c r="E727" s="1">
        <v>3</v>
      </c>
      <c r="F727" s="1">
        <v>4</v>
      </c>
      <c r="G727" s="1">
        <v>5</v>
      </c>
      <c r="H727" s="77">
        <v>6</v>
      </c>
      <c r="I727" s="160" t="s">
        <v>320</v>
      </c>
      <c r="J727" s="161"/>
      <c r="K727" s="161"/>
      <c r="L727" s="161"/>
      <c r="M727" s="161"/>
      <c r="N727" s="162"/>
    </row>
    <row r="728" spans="2:14" ht="47.25" x14ac:dyDescent="0.25">
      <c r="B728" s="143" t="s">
        <v>10</v>
      </c>
      <c r="C728" s="19">
        <v>20</v>
      </c>
      <c r="D728" s="19">
        <v>45</v>
      </c>
      <c r="E728" s="19">
        <v>15</v>
      </c>
      <c r="F728" s="19">
        <v>46</v>
      </c>
      <c r="G728" s="19">
        <v>48</v>
      </c>
      <c r="H728" s="95">
        <v>51</v>
      </c>
      <c r="I728" s="163"/>
      <c r="J728" s="164"/>
      <c r="K728" s="164"/>
      <c r="L728" s="164"/>
      <c r="M728" s="164"/>
      <c r="N728" s="165"/>
    </row>
    <row r="729" spans="2:14" ht="16.5" thickBot="1" x14ac:dyDescent="0.3">
      <c r="B729" s="94" t="s">
        <v>12</v>
      </c>
      <c r="C729" s="93">
        <v>102</v>
      </c>
      <c r="D729" s="93">
        <v>62</v>
      </c>
      <c r="E729" s="93">
        <v>36</v>
      </c>
      <c r="F729" s="93">
        <v>33</v>
      </c>
      <c r="G729" s="93">
        <v>28</v>
      </c>
      <c r="H729" s="97">
        <v>21</v>
      </c>
      <c r="I729" s="166"/>
      <c r="J729" s="167"/>
      <c r="K729" s="167"/>
      <c r="L729" s="167"/>
      <c r="M729" s="167"/>
      <c r="N729" s="168"/>
    </row>
    <row r="730" spans="2:14" ht="15.75" thickBot="1" x14ac:dyDescent="0.3"/>
    <row r="731" spans="2:14" ht="15.75" x14ac:dyDescent="0.25">
      <c r="B731" s="2" t="s">
        <v>0</v>
      </c>
      <c r="C731" s="144" t="s">
        <v>202</v>
      </c>
      <c r="D731" s="145"/>
      <c r="E731" s="146" t="s">
        <v>1</v>
      </c>
      <c r="F731" s="147"/>
      <c r="G731" s="11">
        <v>140</v>
      </c>
      <c r="H731" s="158" t="s">
        <v>2</v>
      </c>
      <c r="I731" s="149"/>
      <c r="J731" s="150"/>
      <c r="K731" s="13">
        <v>140</v>
      </c>
      <c r="L731" s="3"/>
      <c r="M731" s="80" t="s">
        <v>11</v>
      </c>
      <c r="N731" s="98">
        <v>45969</v>
      </c>
    </row>
    <row r="732" spans="2:14" ht="15.75" x14ac:dyDescent="0.25">
      <c r="B732" s="4" t="s">
        <v>3</v>
      </c>
      <c r="C732" s="10">
        <v>33450</v>
      </c>
      <c r="D732" s="159" t="s">
        <v>57</v>
      </c>
      <c r="E732" s="152"/>
      <c r="F732" s="153"/>
      <c r="G732" s="18">
        <v>3087</v>
      </c>
      <c r="H732" s="157" t="s">
        <v>4</v>
      </c>
      <c r="I732" s="155"/>
      <c r="J732" s="156"/>
      <c r="K732" s="113">
        <v>50</v>
      </c>
      <c r="L732" s="15"/>
      <c r="M732" s="15"/>
      <c r="N732" s="16"/>
    </row>
    <row r="733" spans="2:14" ht="15.75" x14ac:dyDescent="0.25">
      <c r="B733" s="4" t="s">
        <v>5</v>
      </c>
      <c r="C733" s="19">
        <v>47</v>
      </c>
      <c r="D733" s="159" t="s">
        <v>8</v>
      </c>
      <c r="E733" s="152"/>
      <c r="F733" s="153"/>
      <c r="G733" s="17">
        <v>0.28000000000000003</v>
      </c>
      <c r="H733" s="157" t="s">
        <v>254</v>
      </c>
      <c r="I733" s="155"/>
      <c r="J733" s="156"/>
      <c r="K733" s="12">
        <v>0.92</v>
      </c>
      <c r="L733" s="157" t="s">
        <v>6</v>
      </c>
      <c r="M733" s="156"/>
      <c r="N733" s="20">
        <v>2.42</v>
      </c>
    </row>
    <row r="734" spans="2:14" ht="16.5" thickBot="1" x14ac:dyDescent="0.3">
      <c r="B734" s="5"/>
      <c r="C734" s="9"/>
      <c r="D734" s="9"/>
      <c r="E734" s="9"/>
      <c r="F734" s="9"/>
      <c r="G734" s="9"/>
      <c r="H734" s="79"/>
      <c r="I734" s="21"/>
      <c r="J734" s="21"/>
      <c r="K734" s="21"/>
      <c r="L734" s="21"/>
      <c r="M734" s="21"/>
      <c r="N734" s="6"/>
    </row>
    <row r="735" spans="2:14" ht="15.75" x14ac:dyDescent="0.25">
      <c r="B735" s="7" t="s">
        <v>7</v>
      </c>
      <c r="C735" s="1">
        <v>1</v>
      </c>
      <c r="D735" s="1">
        <v>2</v>
      </c>
      <c r="E735" s="1">
        <v>3</v>
      </c>
      <c r="F735" s="1">
        <v>4</v>
      </c>
      <c r="G735" s="1">
        <v>5</v>
      </c>
      <c r="H735" s="77">
        <v>6</v>
      </c>
      <c r="I735" s="160" t="s">
        <v>321</v>
      </c>
      <c r="J735" s="161"/>
      <c r="K735" s="161"/>
      <c r="L735" s="161"/>
      <c r="M735" s="161"/>
      <c r="N735" s="162"/>
    </row>
    <row r="736" spans="2:14" ht="47.25" x14ac:dyDescent="0.25">
      <c r="B736" s="143" t="s">
        <v>10</v>
      </c>
      <c r="C736" s="19">
        <v>20</v>
      </c>
      <c r="D736" s="19">
        <v>45</v>
      </c>
      <c r="E736" s="19">
        <v>15</v>
      </c>
      <c r="F736" s="19">
        <v>46</v>
      </c>
      <c r="G736" s="19">
        <v>48</v>
      </c>
      <c r="H736" s="95">
        <v>51</v>
      </c>
      <c r="I736" s="163"/>
      <c r="J736" s="164"/>
      <c r="K736" s="164"/>
      <c r="L736" s="164"/>
      <c r="M736" s="164"/>
      <c r="N736" s="165"/>
    </row>
    <row r="737" spans="2:14" ht="16.5" thickBot="1" x14ac:dyDescent="0.3">
      <c r="B737" s="94" t="s">
        <v>12</v>
      </c>
      <c r="C737" s="93">
        <v>102</v>
      </c>
      <c r="D737" s="93">
        <v>62</v>
      </c>
      <c r="E737" s="93">
        <v>36</v>
      </c>
      <c r="F737" s="93">
        <v>33</v>
      </c>
      <c r="G737" s="93">
        <v>28</v>
      </c>
      <c r="H737" s="97">
        <v>21</v>
      </c>
      <c r="I737" s="166"/>
      <c r="J737" s="167"/>
      <c r="K737" s="167"/>
      <c r="L737" s="167"/>
      <c r="M737" s="167"/>
      <c r="N737" s="168"/>
    </row>
    <row r="738" spans="2:14" ht="15.75" thickBot="1" x14ac:dyDescent="0.3"/>
    <row r="739" spans="2:14" ht="15.75" x14ac:dyDescent="0.25">
      <c r="B739" s="2" t="s">
        <v>0</v>
      </c>
      <c r="C739" s="144" t="s">
        <v>202</v>
      </c>
      <c r="D739" s="145"/>
      <c r="E739" s="146" t="s">
        <v>1</v>
      </c>
      <c r="F739" s="147"/>
      <c r="G739" s="11">
        <v>140</v>
      </c>
      <c r="H739" s="158" t="s">
        <v>2</v>
      </c>
      <c r="I739" s="149"/>
      <c r="J739" s="150"/>
      <c r="K739" s="13">
        <v>140</v>
      </c>
      <c r="L739" s="3"/>
      <c r="M739" s="80" t="s">
        <v>11</v>
      </c>
      <c r="N739" s="98">
        <v>45976</v>
      </c>
    </row>
    <row r="740" spans="2:14" ht="15.75" x14ac:dyDescent="0.25">
      <c r="B740" s="4" t="s">
        <v>3</v>
      </c>
      <c r="C740" s="10">
        <v>33764</v>
      </c>
      <c r="D740" s="159" t="s">
        <v>57</v>
      </c>
      <c r="E740" s="152"/>
      <c r="F740" s="153"/>
      <c r="G740" s="18">
        <v>3087</v>
      </c>
      <c r="H740" s="157" t="s">
        <v>4</v>
      </c>
      <c r="I740" s="155"/>
      <c r="J740" s="156"/>
      <c r="K740" s="113">
        <v>0</v>
      </c>
      <c r="L740" s="15"/>
      <c r="M740" s="15"/>
      <c r="N740" s="16"/>
    </row>
    <row r="741" spans="2:14" ht="15.75" x14ac:dyDescent="0.25">
      <c r="B741" s="4" t="s">
        <v>5</v>
      </c>
      <c r="C741" s="19">
        <v>0</v>
      </c>
      <c r="D741" s="159" t="s">
        <v>8</v>
      </c>
      <c r="E741" s="152"/>
      <c r="F741" s="153"/>
      <c r="G741" s="17">
        <v>0.28000000000000003</v>
      </c>
      <c r="H741" s="157" t="s">
        <v>254</v>
      </c>
      <c r="I741" s="155"/>
      <c r="J741" s="156"/>
      <c r="K741" s="12">
        <v>0.92</v>
      </c>
      <c r="L741" s="157" t="s">
        <v>6</v>
      </c>
      <c r="M741" s="156"/>
      <c r="N741" s="20">
        <v>2.42</v>
      </c>
    </row>
    <row r="742" spans="2:14" ht="16.5" thickBot="1" x14ac:dyDescent="0.3">
      <c r="B742" s="5"/>
      <c r="C742" s="9"/>
      <c r="D742" s="9"/>
      <c r="E742" s="9"/>
      <c r="F742" s="9"/>
      <c r="G742" s="9"/>
      <c r="H742" s="79"/>
      <c r="I742" s="21"/>
      <c r="J742" s="21"/>
      <c r="K742" s="21"/>
      <c r="L742" s="21"/>
      <c r="M742" s="21"/>
      <c r="N742" s="6"/>
    </row>
    <row r="743" spans="2:14" ht="15.75" x14ac:dyDescent="0.25">
      <c r="B743" s="7" t="s">
        <v>7</v>
      </c>
      <c r="C743" s="1">
        <v>1</v>
      </c>
      <c r="D743" s="1">
        <v>2</v>
      </c>
      <c r="E743" s="1">
        <v>3</v>
      </c>
      <c r="F743" s="1">
        <v>4</v>
      </c>
      <c r="G743" s="1">
        <v>5</v>
      </c>
      <c r="H743" s="77">
        <v>6</v>
      </c>
      <c r="I743" s="160" t="s">
        <v>322</v>
      </c>
      <c r="J743" s="161"/>
      <c r="K743" s="161"/>
      <c r="L743" s="161"/>
      <c r="M743" s="161"/>
      <c r="N743" s="162"/>
    </row>
    <row r="744" spans="2:14" ht="47.25" x14ac:dyDescent="0.25">
      <c r="B744" s="143" t="s">
        <v>10</v>
      </c>
      <c r="C744" s="19"/>
      <c r="D744" s="19"/>
      <c r="E744" s="19"/>
      <c r="F744" s="19"/>
      <c r="G744" s="19"/>
      <c r="H744" s="95"/>
      <c r="I744" s="163"/>
      <c r="J744" s="164"/>
      <c r="K744" s="164"/>
      <c r="L744" s="164"/>
      <c r="M744" s="164"/>
      <c r="N744" s="165"/>
    </row>
    <row r="745" spans="2:14" ht="16.5" thickBot="1" x14ac:dyDescent="0.3">
      <c r="B745" s="94" t="s">
        <v>12</v>
      </c>
      <c r="C745" s="93"/>
      <c r="D745" s="93"/>
      <c r="E745" s="93"/>
      <c r="F745" s="93"/>
      <c r="G745" s="93"/>
      <c r="H745" s="97"/>
      <c r="I745" s="166"/>
      <c r="J745" s="167"/>
      <c r="K745" s="167"/>
      <c r="L745" s="167"/>
      <c r="M745" s="167"/>
      <c r="N745" s="168"/>
    </row>
    <row r="746" spans="2:14" ht="15.75" thickBot="1" x14ac:dyDescent="0.3"/>
    <row r="747" spans="2:14" ht="15.75" x14ac:dyDescent="0.25">
      <c r="B747" s="2" t="s">
        <v>0</v>
      </c>
      <c r="C747" s="144" t="s">
        <v>202</v>
      </c>
      <c r="D747" s="145"/>
      <c r="E747" s="146" t="s">
        <v>1</v>
      </c>
      <c r="F747" s="147"/>
      <c r="G747" s="11">
        <v>140</v>
      </c>
      <c r="H747" s="158" t="s">
        <v>2</v>
      </c>
      <c r="I747" s="149"/>
      <c r="J747" s="150"/>
      <c r="K747" s="13">
        <v>140</v>
      </c>
      <c r="L747" s="3"/>
      <c r="M747" s="80" t="s">
        <v>11</v>
      </c>
      <c r="N747" s="98">
        <v>45983</v>
      </c>
    </row>
    <row r="748" spans="2:14" ht="15.75" x14ac:dyDescent="0.25">
      <c r="B748" s="4" t="s">
        <v>3</v>
      </c>
      <c r="C748" s="10">
        <v>33936</v>
      </c>
      <c r="D748" s="159" t="s">
        <v>57</v>
      </c>
      <c r="E748" s="152"/>
      <c r="F748" s="153"/>
      <c r="G748" s="18">
        <v>8020</v>
      </c>
      <c r="H748" s="157" t="s">
        <v>4</v>
      </c>
      <c r="I748" s="155"/>
      <c r="J748" s="156"/>
      <c r="K748" s="113">
        <v>61</v>
      </c>
      <c r="L748" s="15"/>
      <c r="M748" s="15"/>
      <c r="N748" s="16"/>
    </row>
    <row r="749" spans="2:14" ht="15.75" x14ac:dyDescent="0.25">
      <c r="B749" s="4" t="s">
        <v>5</v>
      </c>
      <c r="C749" s="19">
        <v>67</v>
      </c>
      <c r="D749" s="159" t="s">
        <v>8</v>
      </c>
      <c r="E749" s="152"/>
      <c r="F749" s="153"/>
      <c r="G749" s="17">
        <v>0.28000000000000003</v>
      </c>
      <c r="H749" s="157" t="s">
        <v>254</v>
      </c>
      <c r="I749" s="155"/>
      <c r="J749" s="156"/>
      <c r="K749" s="12">
        <v>0.9</v>
      </c>
      <c r="L749" s="157" t="s">
        <v>6</v>
      </c>
      <c r="M749" s="156"/>
      <c r="N749" s="20">
        <v>2.42</v>
      </c>
    </row>
    <row r="750" spans="2:14" ht="16.5" thickBot="1" x14ac:dyDescent="0.3">
      <c r="B750" s="5"/>
      <c r="C750" s="9"/>
      <c r="D750" s="9"/>
      <c r="E750" s="9"/>
      <c r="F750" s="9"/>
      <c r="G750" s="9"/>
      <c r="H750" s="79"/>
      <c r="I750" s="21"/>
      <c r="J750" s="21"/>
      <c r="K750" s="21"/>
      <c r="L750" s="21"/>
      <c r="M750" s="21"/>
      <c r="N750" s="6"/>
    </row>
    <row r="751" spans="2:14" ht="15.75" x14ac:dyDescent="0.25">
      <c r="B751" s="7" t="s">
        <v>7</v>
      </c>
      <c r="C751" s="1">
        <v>1</v>
      </c>
      <c r="D751" s="1">
        <v>2</v>
      </c>
      <c r="E751" s="1">
        <v>3</v>
      </c>
      <c r="F751" s="1">
        <v>4</v>
      </c>
      <c r="G751" s="1">
        <v>5</v>
      </c>
      <c r="H751" s="77">
        <v>6</v>
      </c>
      <c r="I751" s="160" t="s">
        <v>323</v>
      </c>
      <c r="J751" s="161"/>
      <c r="K751" s="161"/>
      <c r="L751" s="161"/>
      <c r="M751" s="161"/>
      <c r="N751" s="162"/>
    </row>
    <row r="752" spans="2:14" ht="47.25" x14ac:dyDescent="0.25">
      <c r="B752" s="143" t="s">
        <v>10</v>
      </c>
      <c r="C752" s="19">
        <v>74</v>
      </c>
      <c r="D752" s="19">
        <v>60</v>
      </c>
      <c r="E752" s="19">
        <v>61</v>
      </c>
      <c r="F752" s="19">
        <v>39</v>
      </c>
      <c r="G752" s="19">
        <v>61</v>
      </c>
      <c r="H752" s="95">
        <v>49</v>
      </c>
      <c r="I752" s="163"/>
      <c r="J752" s="164"/>
      <c r="K752" s="164"/>
      <c r="L752" s="164"/>
      <c r="M752" s="164"/>
      <c r="N752" s="165"/>
    </row>
    <row r="753" spans="2:14" ht="16.5" thickBot="1" x14ac:dyDescent="0.3">
      <c r="B753" s="94" t="s">
        <v>12</v>
      </c>
      <c r="C753" s="93">
        <v>111</v>
      </c>
      <c r="D753" s="93">
        <v>99</v>
      </c>
      <c r="E753" s="93">
        <v>111</v>
      </c>
      <c r="F753" s="93">
        <v>55</v>
      </c>
      <c r="G753" s="93">
        <v>55</v>
      </c>
      <c r="H753" s="97">
        <v>32</v>
      </c>
      <c r="I753" s="166"/>
      <c r="J753" s="167"/>
      <c r="K753" s="167"/>
      <c r="L753" s="167"/>
      <c r="M753" s="167"/>
      <c r="N753" s="168"/>
    </row>
    <row r="754" spans="2:14" ht="15.75" thickBot="1" x14ac:dyDescent="0.3"/>
    <row r="755" spans="2:14" ht="15.75" x14ac:dyDescent="0.25">
      <c r="B755" s="2" t="s">
        <v>0</v>
      </c>
      <c r="C755" s="144" t="s">
        <v>202</v>
      </c>
      <c r="D755" s="145"/>
      <c r="E755" s="146" t="s">
        <v>1</v>
      </c>
      <c r="F755" s="147"/>
      <c r="G755" s="11">
        <v>140</v>
      </c>
      <c r="H755" s="158" t="s">
        <v>2</v>
      </c>
      <c r="I755" s="149"/>
      <c r="J755" s="150"/>
      <c r="K755" s="13">
        <v>140</v>
      </c>
      <c r="L755" s="3"/>
      <c r="M755" s="80" t="s">
        <v>11</v>
      </c>
      <c r="N755" s="98">
        <v>45990</v>
      </c>
    </row>
    <row r="756" spans="2:14" ht="15.75" x14ac:dyDescent="0.25">
      <c r="B756" s="4" t="s">
        <v>3</v>
      </c>
      <c r="C756" s="10">
        <v>34083</v>
      </c>
      <c r="D756" s="159" t="s">
        <v>57</v>
      </c>
      <c r="E756" s="152"/>
      <c r="F756" s="153"/>
      <c r="G756" s="18">
        <v>0</v>
      </c>
      <c r="H756" s="157" t="s">
        <v>4</v>
      </c>
      <c r="I756" s="155"/>
      <c r="J756" s="156"/>
      <c r="K756" s="113">
        <v>0</v>
      </c>
      <c r="L756" s="15"/>
      <c r="M756" s="15"/>
      <c r="N756" s="16"/>
    </row>
    <row r="757" spans="2:14" ht="15.75" x14ac:dyDescent="0.25">
      <c r="B757" s="4" t="s">
        <v>5</v>
      </c>
      <c r="C757" s="19">
        <v>0</v>
      </c>
      <c r="D757" s="159" t="s">
        <v>8</v>
      </c>
      <c r="E757" s="152"/>
      <c r="F757" s="153"/>
      <c r="G757" s="17">
        <v>0.28000000000000003</v>
      </c>
      <c r="H757" s="157" t="s">
        <v>254</v>
      </c>
      <c r="I757" s="155"/>
      <c r="J757" s="156"/>
      <c r="K757" s="12">
        <v>0.9</v>
      </c>
      <c r="L757" s="157" t="s">
        <v>6</v>
      </c>
      <c r="M757" s="156"/>
      <c r="N757" s="20">
        <v>2.42</v>
      </c>
    </row>
    <row r="758" spans="2:14" ht="16.5" thickBot="1" x14ac:dyDescent="0.3">
      <c r="B758" s="5"/>
      <c r="C758" s="9"/>
      <c r="D758" s="9"/>
      <c r="E758" s="9"/>
      <c r="F758" s="9"/>
      <c r="G758" s="9"/>
      <c r="H758" s="79"/>
      <c r="I758" s="21"/>
      <c r="J758" s="21"/>
      <c r="K758" s="21"/>
      <c r="L758" s="21"/>
      <c r="M758" s="21"/>
      <c r="N758" s="6"/>
    </row>
    <row r="759" spans="2:14" ht="15.75" x14ac:dyDescent="0.25">
      <c r="B759" s="7" t="s">
        <v>7</v>
      </c>
      <c r="C759" s="1">
        <v>1</v>
      </c>
      <c r="D759" s="1">
        <v>2</v>
      </c>
      <c r="E759" s="1">
        <v>3</v>
      </c>
      <c r="F759" s="1">
        <v>4</v>
      </c>
      <c r="G759" s="1">
        <v>5</v>
      </c>
      <c r="H759" s="77">
        <v>6</v>
      </c>
      <c r="I759" s="160" t="s">
        <v>324</v>
      </c>
      <c r="J759" s="161"/>
      <c r="K759" s="161"/>
      <c r="L759" s="161"/>
      <c r="M759" s="161"/>
      <c r="N759" s="162"/>
    </row>
    <row r="760" spans="2:14" ht="47.25" x14ac:dyDescent="0.25">
      <c r="B760" s="143" t="s">
        <v>10</v>
      </c>
      <c r="C760" s="19">
        <v>74</v>
      </c>
      <c r="D760" s="19">
        <v>60</v>
      </c>
      <c r="E760" s="19">
        <v>61</v>
      </c>
      <c r="F760" s="19">
        <v>39</v>
      </c>
      <c r="G760" s="19">
        <v>61</v>
      </c>
      <c r="H760" s="95">
        <v>49</v>
      </c>
      <c r="I760" s="163"/>
      <c r="J760" s="164"/>
      <c r="K760" s="164"/>
      <c r="L760" s="164"/>
      <c r="M760" s="164"/>
      <c r="N760" s="165"/>
    </row>
    <row r="761" spans="2:14" ht="16.5" thickBot="1" x14ac:dyDescent="0.3">
      <c r="B761" s="94" t="s">
        <v>12</v>
      </c>
      <c r="C761" s="93">
        <v>111</v>
      </c>
      <c r="D761" s="93">
        <v>99</v>
      </c>
      <c r="E761" s="93">
        <v>111</v>
      </c>
      <c r="F761" s="93">
        <v>55</v>
      </c>
      <c r="G761" s="93">
        <v>55</v>
      </c>
      <c r="H761" s="97">
        <v>32</v>
      </c>
      <c r="I761" s="166"/>
      <c r="J761" s="167"/>
      <c r="K761" s="167"/>
      <c r="L761" s="167"/>
      <c r="M761" s="167"/>
      <c r="N761" s="168"/>
    </row>
    <row r="762" spans="2:14" ht="15.75" thickBot="1" x14ac:dyDescent="0.3"/>
    <row r="763" spans="2:14" ht="15.75" x14ac:dyDescent="0.25">
      <c r="B763" s="2" t="s">
        <v>0</v>
      </c>
      <c r="C763" s="144" t="s">
        <v>202</v>
      </c>
      <c r="D763" s="145"/>
      <c r="E763" s="146" t="s">
        <v>1</v>
      </c>
      <c r="F763" s="147"/>
      <c r="G763" s="11">
        <v>140</v>
      </c>
      <c r="H763" s="158" t="s">
        <v>2</v>
      </c>
      <c r="I763" s="149"/>
      <c r="J763" s="150"/>
      <c r="K763" s="13">
        <v>140</v>
      </c>
      <c r="L763" s="3"/>
      <c r="M763" s="80" t="s">
        <v>11</v>
      </c>
      <c r="N763" s="98">
        <v>45997</v>
      </c>
    </row>
    <row r="764" spans="2:14" ht="15.75" x14ac:dyDescent="0.25">
      <c r="B764" s="4" t="s">
        <v>3</v>
      </c>
      <c r="C764" s="10">
        <v>34121</v>
      </c>
      <c r="D764" s="159" t="s">
        <v>57</v>
      </c>
      <c r="E764" s="152"/>
      <c r="F764" s="153"/>
      <c r="G764" s="18">
        <v>0</v>
      </c>
      <c r="H764" s="157" t="s">
        <v>4</v>
      </c>
      <c r="I764" s="155"/>
      <c r="J764" s="156"/>
      <c r="K764" s="113">
        <v>0</v>
      </c>
      <c r="L764" s="15"/>
      <c r="M764" s="15"/>
      <c r="N764" s="16"/>
    </row>
    <row r="765" spans="2:14" ht="15.75" x14ac:dyDescent="0.25">
      <c r="B765" s="4" t="s">
        <v>5</v>
      </c>
      <c r="C765" s="19">
        <v>0</v>
      </c>
      <c r="D765" s="159" t="s">
        <v>8</v>
      </c>
      <c r="E765" s="152"/>
      <c r="F765" s="153"/>
      <c r="G765" s="17">
        <v>0.28000000000000003</v>
      </c>
      <c r="H765" s="157" t="s">
        <v>254</v>
      </c>
      <c r="I765" s="155"/>
      <c r="J765" s="156"/>
      <c r="K765" s="12">
        <v>0.9</v>
      </c>
      <c r="L765" s="157" t="s">
        <v>6</v>
      </c>
      <c r="M765" s="156"/>
      <c r="N765" s="20">
        <v>2.42</v>
      </c>
    </row>
    <row r="766" spans="2:14" ht="16.5" thickBot="1" x14ac:dyDescent="0.3">
      <c r="B766" s="5"/>
      <c r="C766" s="9"/>
      <c r="D766" s="9"/>
      <c r="E766" s="9"/>
      <c r="F766" s="9"/>
      <c r="G766" s="9"/>
      <c r="H766" s="79"/>
      <c r="I766" s="21"/>
      <c r="J766" s="21"/>
      <c r="K766" s="21"/>
      <c r="L766" s="21"/>
      <c r="M766" s="21"/>
      <c r="N766" s="6"/>
    </row>
    <row r="767" spans="2:14" ht="15.75" x14ac:dyDescent="0.25">
      <c r="B767" s="7" t="s">
        <v>7</v>
      </c>
      <c r="C767" s="1">
        <v>1</v>
      </c>
      <c r="D767" s="1">
        <v>2</v>
      </c>
      <c r="E767" s="1">
        <v>3</v>
      </c>
      <c r="F767" s="1">
        <v>4</v>
      </c>
      <c r="G767" s="1">
        <v>5</v>
      </c>
      <c r="H767" s="77">
        <v>6</v>
      </c>
      <c r="I767" s="160" t="s">
        <v>325</v>
      </c>
      <c r="J767" s="161"/>
      <c r="K767" s="161"/>
      <c r="L767" s="161"/>
      <c r="M767" s="161"/>
      <c r="N767" s="162"/>
    </row>
    <row r="768" spans="2:14" ht="47.25" x14ac:dyDescent="0.25">
      <c r="B768" s="143" t="s">
        <v>10</v>
      </c>
      <c r="C768" s="19">
        <v>74</v>
      </c>
      <c r="D768" s="19">
        <v>60</v>
      </c>
      <c r="E768" s="19">
        <v>61</v>
      </c>
      <c r="F768" s="19">
        <v>39</v>
      </c>
      <c r="G768" s="19">
        <v>61</v>
      </c>
      <c r="H768" s="95">
        <v>49</v>
      </c>
      <c r="I768" s="163"/>
      <c r="J768" s="164"/>
      <c r="K768" s="164"/>
      <c r="L768" s="164"/>
      <c r="M768" s="164"/>
      <c r="N768" s="165"/>
    </row>
    <row r="769" spans="2:14" ht="16.5" thickBot="1" x14ac:dyDescent="0.3">
      <c r="B769" s="94" t="s">
        <v>12</v>
      </c>
      <c r="C769" s="93">
        <v>111</v>
      </c>
      <c r="D769" s="93">
        <v>99</v>
      </c>
      <c r="E769" s="93">
        <v>111</v>
      </c>
      <c r="F769" s="93">
        <v>55</v>
      </c>
      <c r="G769" s="93">
        <v>55</v>
      </c>
      <c r="H769" s="97">
        <v>32</v>
      </c>
      <c r="I769" s="166"/>
      <c r="J769" s="167"/>
      <c r="K769" s="167"/>
      <c r="L769" s="167"/>
      <c r="M769" s="167"/>
      <c r="N769" s="168"/>
    </row>
    <row r="770" spans="2:14" ht="15.75" thickBot="1" x14ac:dyDescent="0.3"/>
    <row r="771" spans="2:14" ht="15.75" x14ac:dyDescent="0.25">
      <c r="B771" s="2" t="s">
        <v>0</v>
      </c>
      <c r="C771" s="144" t="s">
        <v>202</v>
      </c>
      <c r="D771" s="145"/>
      <c r="E771" s="146" t="s">
        <v>1</v>
      </c>
      <c r="F771" s="147"/>
      <c r="G771" s="11">
        <v>140</v>
      </c>
      <c r="H771" s="158" t="s">
        <v>2</v>
      </c>
      <c r="I771" s="149"/>
      <c r="J771" s="150"/>
      <c r="K771" s="13">
        <v>140</v>
      </c>
      <c r="L771" s="3"/>
      <c r="M771" s="80" t="s">
        <v>11</v>
      </c>
      <c r="N771" s="98">
        <v>46004</v>
      </c>
    </row>
    <row r="772" spans="2:14" ht="15.75" x14ac:dyDescent="0.25">
      <c r="B772" s="4" t="s">
        <v>3</v>
      </c>
      <c r="C772" s="10">
        <v>34255</v>
      </c>
      <c r="D772" s="159" t="s">
        <v>57</v>
      </c>
      <c r="E772" s="152"/>
      <c r="F772" s="153"/>
      <c r="G772" s="18">
        <v>6100</v>
      </c>
      <c r="H772" s="157" t="s">
        <v>4</v>
      </c>
      <c r="I772" s="155"/>
      <c r="J772" s="156"/>
      <c r="K772" s="113">
        <v>57</v>
      </c>
      <c r="L772" s="15"/>
      <c r="M772" s="15"/>
      <c r="N772" s="16"/>
    </row>
    <row r="773" spans="2:14" ht="15.75" x14ac:dyDescent="0.25">
      <c r="B773" s="4" t="s">
        <v>5</v>
      </c>
      <c r="C773" s="19">
        <v>59</v>
      </c>
      <c r="D773" s="159" t="s">
        <v>8</v>
      </c>
      <c r="E773" s="152"/>
      <c r="F773" s="153"/>
      <c r="G773" s="17">
        <v>0.28000000000000003</v>
      </c>
      <c r="H773" s="157" t="s">
        <v>254</v>
      </c>
      <c r="I773" s="155"/>
      <c r="J773" s="156"/>
      <c r="K773" s="12">
        <v>0.9</v>
      </c>
      <c r="L773" s="157" t="s">
        <v>6</v>
      </c>
      <c r="M773" s="156"/>
      <c r="N773" s="20">
        <v>2.59</v>
      </c>
    </row>
    <row r="774" spans="2:14" ht="16.5" thickBot="1" x14ac:dyDescent="0.3">
      <c r="B774" s="5"/>
      <c r="C774" s="9"/>
      <c r="D774" s="9"/>
      <c r="E774" s="9"/>
      <c r="F774" s="9"/>
      <c r="G774" s="9"/>
      <c r="H774" s="79"/>
      <c r="I774" s="21"/>
      <c r="J774" s="21"/>
      <c r="K774" s="21"/>
      <c r="L774" s="21"/>
      <c r="M774" s="21"/>
      <c r="N774" s="6"/>
    </row>
    <row r="775" spans="2:14" ht="15.75" x14ac:dyDescent="0.25">
      <c r="B775" s="7" t="s">
        <v>7</v>
      </c>
      <c r="C775" s="1">
        <v>1</v>
      </c>
      <c r="D775" s="1">
        <v>2</v>
      </c>
      <c r="E775" s="1">
        <v>3</v>
      </c>
      <c r="F775" s="1">
        <v>4</v>
      </c>
      <c r="G775" s="1">
        <v>5</v>
      </c>
      <c r="H775" s="77">
        <v>6</v>
      </c>
      <c r="I775" s="160" t="s">
        <v>326</v>
      </c>
      <c r="J775" s="161"/>
      <c r="K775" s="161"/>
      <c r="L775" s="161"/>
      <c r="M775" s="161"/>
      <c r="N775" s="162"/>
    </row>
    <row r="776" spans="2:14" ht="47.25" x14ac:dyDescent="0.25">
      <c r="B776" s="143" t="s">
        <v>10</v>
      </c>
      <c r="C776" s="19">
        <v>61</v>
      </c>
      <c r="D776" s="19">
        <v>43</v>
      </c>
      <c r="E776" s="19">
        <v>64</v>
      </c>
      <c r="F776" s="19">
        <v>57</v>
      </c>
      <c r="G776" s="19">
        <v>61</v>
      </c>
      <c r="H776" s="95">
        <v>61</v>
      </c>
      <c r="I776" s="163"/>
      <c r="J776" s="164"/>
      <c r="K776" s="164"/>
      <c r="L776" s="164"/>
      <c r="M776" s="164"/>
      <c r="N776" s="165"/>
    </row>
    <row r="777" spans="2:14" ht="16.5" thickBot="1" x14ac:dyDescent="0.3">
      <c r="B777" s="94" t="s">
        <v>12</v>
      </c>
      <c r="C777" s="93">
        <v>60</v>
      </c>
      <c r="D777" s="93">
        <v>59</v>
      </c>
      <c r="E777" s="93">
        <v>113</v>
      </c>
      <c r="F777" s="93">
        <v>90</v>
      </c>
      <c r="G777" s="93">
        <v>55</v>
      </c>
      <c r="H777" s="97">
        <v>48</v>
      </c>
      <c r="I777" s="166"/>
      <c r="J777" s="167"/>
      <c r="K777" s="167"/>
      <c r="L777" s="167"/>
      <c r="M777" s="167"/>
      <c r="N777" s="168"/>
    </row>
    <row r="778" spans="2:14" ht="15.75" thickBot="1" x14ac:dyDescent="0.3"/>
    <row r="779" spans="2:14" ht="15.75" x14ac:dyDescent="0.25">
      <c r="B779" s="2" t="s">
        <v>0</v>
      </c>
      <c r="C779" s="144" t="s">
        <v>202</v>
      </c>
      <c r="D779" s="145"/>
      <c r="E779" s="146" t="s">
        <v>1</v>
      </c>
      <c r="F779" s="147"/>
      <c r="G779" s="11">
        <v>140</v>
      </c>
      <c r="H779" s="158" t="s">
        <v>2</v>
      </c>
      <c r="I779" s="149"/>
      <c r="J779" s="150"/>
      <c r="K779" s="13">
        <v>140</v>
      </c>
      <c r="L779" s="3"/>
      <c r="M779" s="80" t="s">
        <v>11</v>
      </c>
      <c r="N779" s="98">
        <v>46011</v>
      </c>
    </row>
    <row r="780" spans="2:14" ht="15.75" x14ac:dyDescent="0.25">
      <c r="B780" s="4" t="s">
        <v>3</v>
      </c>
      <c r="C780" s="10">
        <v>34298</v>
      </c>
      <c r="D780" s="159" t="s">
        <v>57</v>
      </c>
      <c r="E780" s="152"/>
      <c r="F780" s="153"/>
      <c r="G780" s="18">
        <v>3800</v>
      </c>
      <c r="H780" s="157" t="s">
        <v>4</v>
      </c>
      <c r="I780" s="155"/>
      <c r="J780" s="156"/>
      <c r="K780" s="113">
        <v>46</v>
      </c>
      <c r="L780" s="15"/>
      <c r="M780" s="15"/>
      <c r="N780" s="16"/>
    </row>
    <row r="781" spans="2:14" ht="15.75" x14ac:dyDescent="0.25">
      <c r="B781" s="4" t="s">
        <v>5</v>
      </c>
      <c r="C781" s="19">
        <v>48</v>
      </c>
      <c r="D781" s="159" t="s">
        <v>8</v>
      </c>
      <c r="E781" s="152"/>
      <c r="F781" s="153"/>
      <c r="G781" s="17">
        <v>0.28000000000000003</v>
      </c>
      <c r="H781" s="157" t="s">
        <v>254</v>
      </c>
      <c r="I781" s="155"/>
      <c r="J781" s="156"/>
      <c r="K781" s="12">
        <v>0.9</v>
      </c>
      <c r="L781" s="157" t="s">
        <v>6</v>
      </c>
      <c r="M781" s="156"/>
      <c r="N781" s="20">
        <v>2.59</v>
      </c>
    </row>
    <row r="782" spans="2:14" ht="16.5" thickBot="1" x14ac:dyDescent="0.3">
      <c r="B782" s="5"/>
      <c r="C782" s="9"/>
      <c r="D782" s="9"/>
      <c r="E782" s="9"/>
      <c r="F782" s="9"/>
      <c r="G782" s="9"/>
      <c r="H782" s="79"/>
      <c r="I782" s="21"/>
      <c r="J782" s="21"/>
      <c r="K782" s="21"/>
      <c r="L782" s="21"/>
      <c r="M782" s="21"/>
      <c r="N782" s="6"/>
    </row>
    <row r="783" spans="2:14" ht="15.75" x14ac:dyDescent="0.25">
      <c r="B783" s="7" t="s">
        <v>7</v>
      </c>
      <c r="C783" s="1">
        <v>1</v>
      </c>
      <c r="D783" s="1">
        <v>2</v>
      </c>
      <c r="E783" s="1">
        <v>3</v>
      </c>
      <c r="F783" s="1">
        <v>4</v>
      </c>
      <c r="G783" s="1">
        <v>5</v>
      </c>
      <c r="H783" s="77">
        <v>6</v>
      </c>
      <c r="I783" s="160" t="s">
        <v>327</v>
      </c>
      <c r="J783" s="161"/>
      <c r="K783" s="161"/>
      <c r="L783" s="161"/>
      <c r="M783" s="161"/>
      <c r="N783" s="162"/>
    </row>
    <row r="784" spans="2:14" ht="47.25" x14ac:dyDescent="0.25">
      <c r="B784" s="143" t="s">
        <v>10</v>
      </c>
      <c r="C784" s="19">
        <v>67</v>
      </c>
      <c r="D784" s="19">
        <v>57</v>
      </c>
      <c r="E784" s="19">
        <v>70</v>
      </c>
      <c r="F784" s="19">
        <v>36</v>
      </c>
      <c r="G784" s="19">
        <v>55</v>
      </c>
      <c r="H784" s="95">
        <v>46</v>
      </c>
      <c r="I784" s="163"/>
      <c r="J784" s="164"/>
      <c r="K784" s="164"/>
      <c r="L784" s="164"/>
      <c r="M784" s="164"/>
      <c r="N784" s="165"/>
    </row>
    <row r="785" spans="2:14" ht="16.5" thickBot="1" x14ac:dyDescent="0.3">
      <c r="B785" s="94" t="s">
        <v>12</v>
      </c>
      <c r="C785" s="93">
        <v>110</v>
      </c>
      <c r="D785" s="93">
        <v>97</v>
      </c>
      <c r="E785" s="93">
        <v>136</v>
      </c>
      <c r="F785" s="93">
        <v>133</v>
      </c>
      <c r="G785" s="93">
        <v>87</v>
      </c>
      <c r="H785" s="97">
        <v>69</v>
      </c>
      <c r="I785" s="166"/>
      <c r="J785" s="167"/>
      <c r="K785" s="167"/>
      <c r="L785" s="167"/>
      <c r="M785" s="167"/>
      <c r="N785" s="168"/>
    </row>
    <row r="786" spans="2:14" ht="15.75" thickBot="1" x14ac:dyDescent="0.3"/>
    <row r="787" spans="2:14" ht="15.75" x14ac:dyDescent="0.25">
      <c r="B787" s="2" t="s">
        <v>0</v>
      </c>
      <c r="C787" s="144" t="s">
        <v>202</v>
      </c>
      <c r="D787" s="145"/>
      <c r="E787" s="146" t="s">
        <v>1</v>
      </c>
      <c r="F787" s="147"/>
      <c r="G787" s="11">
        <v>140</v>
      </c>
      <c r="H787" s="158" t="s">
        <v>2</v>
      </c>
      <c r="I787" s="149"/>
      <c r="J787" s="150"/>
      <c r="K787" s="13">
        <v>140</v>
      </c>
      <c r="L787" s="3"/>
      <c r="M787" s="80" t="s">
        <v>11</v>
      </c>
      <c r="N787" s="98">
        <v>46018</v>
      </c>
    </row>
    <row r="788" spans="2:14" ht="15.75" x14ac:dyDescent="0.25">
      <c r="B788" s="4" t="s">
        <v>3</v>
      </c>
      <c r="C788" s="10">
        <v>34429</v>
      </c>
      <c r="D788" s="159" t="s">
        <v>57</v>
      </c>
      <c r="E788" s="152"/>
      <c r="F788" s="153"/>
      <c r="G788" s="18">
        <v>0</v>
      </c>
      <c r="H788" s="157" t="s">
        <v>4</v>
      </c>
      <c r="I788" s="155"/>
      <c r="J788" s="156"/>
      <c r="K788" s="113">
        <v>0</v>
      </c>
      <c r="L788" s="15"/>
      <c r="M788" s="15"/>
      <c r="N788" s="16"/>
    </row>
    <row r="789" spans="2:14" ht="15.75" x14ac:dyDescent="0.25">
      <c r="B789" s="4" t="s">
        <v>5</v>
      </c>
      <c r="C789" s="19">
        <v>0</v>
      </c>
      <c r="D789" s="159" t="s">
        <v>8</v>
      </c>
      <c r="E789" s="152"/>
      <c r="F789" s="153"/>
      <c r="G789" s="17">
        <v>0.28000000000000003</v>
      </c>
      <c r="H789" s="157" t="s">
        <v>254</v>
      </c>
      <c r="I789" s="155"/>
      <c r="J789" s="156"/>
      <c r="K789" s="12">
        <v>1</v>
      </c>
      <c r="L789" s="157" t="s">
        <v>6</v>
      </c>
      <c r="M789" s="156"/>
      <c r="N789" s="20">
        <v>2.59</v>
      </c>
    </row>
    <row r="790" spans="2:14" ht="16.5" thickBot="1" x14ac:dyDescent="0.3">
      <c r="B790" s="5"/>
      <c r="C790" s="9"/>
      <c r="D790" s="9"/>
      <c r="E790" s="9"/>
      <c r="F790" s="9"/>
      <c r="G790" s="9"/>
      <c r="H790" s="79"/>
      <c r="I790" s="21"/>
      <c r="J790" s="21"/>
      <c r="K790" s="21"/>
      <c r="L790" s="21"/>
      <c r="M790" s="21"/>
      <c r="N790" s="6"/>
    </row>
    <row r="791" spans="2:14" ht="15.75" x14ac:dyDescent="0.25">
      <c r="B791" s="7" t="s">
        <v>7</v>
      </c>
      <c r="C791" s="1">
        <v>1</v>
      </c>
      <c r="D791" s="1">
        <v>2</v>
      </c>
      <c r="E791" s="1">
        <v>3</v>
      </c>
      <c r="F791" s="1">
        <v>4</v>
      </c>
      <c r="G791" s="1">
        <v>5</v>
      </c>
      <c r="H791" s="77">
        <v>6</v>
      </c>
      <c r="I791" s="160" t="s">
        <v>328</v>
      </c>
      <c r="J791" s="161"/>
      <c r="K791" s="161"/>
      <c r="L791" s="161"/>
      <c r="M791" s="161"/>
      <c r="N791" s="162"/>
    </row>
    <row r="792" spans="2:14" ht="47.25" x14ac:dyDescent="0.25">
      <c r="B792" s="143" t="s">
        <v>10</v>
      </c>
      <c r="C792" s="19">
        <v>67</v>
      </c>
      <c r="D792" s="19">
        <v>57</v>
      </c>
      <c r="E792" s="19">
        <v>70</v>
      </c>
      <c r="F792" s="19">
        <v>36</v>
      </c>
      <c r="G792" s="19">
        <v>55</v>
      </c>
      <c r="H792" s="95">
        <v>46</v>
      </c>
      <c r="I792" s="163"/>
      <c r="J792" s="164"/>
      <c r="K792" s="164"/>
      <c r="L792" s="164"/>
      <c r="M792" s="164"/>
      <c r="N792" s="165"/>
    </row>
    <row r="793" spans="2:14" ht="16.5" thickBot="1" x14ac:dyDescent="0.3">
      <c r="B793" s="94" t="s">
        <v>12</v>
      </c>
      <c r="C793" s="93">
        <v>110</v>
      </c>
      <c r="D793" s="93">
        <v>97</v>
      </c>
      <c r="E793" s="93">
        <v>136</v>
      </c>
      <c r="F793" s="93">
        <v>133</v>
      </c>
      <c r="G793" s="93">
        <v>87</v>
      </c>
      <c r="H793" s="97">
        <v>69</v>
      </c>
      <c r="I793" s="166"/>
      <c r="J793" s="167"/>
      <c r="K793" s="167"/>
      <c r="L793" s="167"/>
      <c r="M793" s="167"/>
      <c r="N793" s="168"/>
    </row>
  </sheetData>
  <mergeCells count="499">
    <mergeCell ref="I735:N737"/>
    <mergeCell ref="I374:N376"/>
    <mergeCell ref="I446:N448"/>
    <mergeCell ref="I679:N681"/>
    <mergeCell ref="I551:N553"/>
    <mergeCell ref="I655:N657"/>
    <mergeCell ref="I623:N625"/>
    <mergeCell ref="I727:N729"/>
    <mergeCell ref="H394:J394"/>
    <mergeCell ref="I414:N416"/>
    <mergeCell ref="I503:N505"/>
    <mergeCell ref="I719:N721"/>
    <mergeCell ref="I703:N705"/>
    <mergeCell ref="I695:N697"/>
    <mergeCell ref="I687:N689"/>
    <mergeCell ref="I711:N713"/>
    <mergeCell ref="D379:F379"/>
    <mergeCell ref="H378:J378"/>
    <mergeCell ref="D380:F380"/>
    <mergeCell ref="H380:J380"/>
    <mergeCell ref="D388:F388"/>
    <mergeCell ref="H388:J388"/>
    <mergeCell ref="I463:N465"/>
    <mergeCell ref="I639:N641"/>
    <mergeCell ref="H379:J379"/>
    <mergeCell ref="I599:N601"/>
    <mergeCell ref="I583:N585"/>
    <mergeCell ref="I567:N569"/>
    <mergeCell ref="I543:N545"/>
    <mergeCell ref="I527:N529"/>
    <mergeCell ref="I519:N521"/>
    <mergeCell ref="I511:N513"/>
    <mergeCell ref="L388:M388"/>
    <mergeCell ref="I390:N392"/>
    <mergeCell ref="H396:J396"/>
    <mergeCell ref="I438:N440"/>
    <mergeCell ref="I430:N432"/>
    <mergeCell ref="L396:M396"/>
    <mergeCell ref="I398:N400"/>
    <mergeCell ref="I406:N408"/>
    <mergeCell ref="D339:F339"/>
    <mergeCell ref="C346:D346"/>
    <mergeCell ref="L380:M380"/>
    <mergeCell ref="I471:N473"/>
    <mergeCell ref="I455:N457"/>
    <mergeCell ref="I535:N537"/>
    <mergeCell ref="H354:J354"/>
    <mergeCell ref="D355:F355"/>
    <mergeCell ref="H355:J355"/>
    <mergeCell ref="D356:F356"/>
    <mergeCell ref="H364:J364"/>
    <mergeCell ref="L364:M364"/>
    <mergeCell ref="I366:N368"/>
    <mergeCell ref="C370:D370"/>
    <mergeCell ref="E370:F370"/>
    <mergeCell ref="H370:J370"/>
    <mergeCell ref="C378:D378"/>
    <mergeCell ref="E378:F378"/>
    <mergeCell ref="C362:D362"/>
    <mergeCell ref="E362:F362"/>
    <mergeCell ref="H362:J362"/>
    <mergeCell ref="D363:F363"/>
    <mergeCell ref="H363:J363"/>
    <mergeCell ref="H387:J387"/>
    <mergeCell ref="E354:F354"/>
    <mergeCell ref="D340:F340"/>
    <mergeCell ref="H340:J340"/>
    <mergeCell ref="D371:F371"/>
    <mergeCell ref="H371:J371"/>
    <mergeCell ref="C354:D354"/>
    <mergeCell ref="I342:N344"/>
    <mergeCell ref="D372:F372"/>
    <mergeCell ref="H372:J372"/>
    <mergeCell ref="L372:M372"/>
    <mergeCell ref="L348:M348"/>
    <mergeCell ref="I350:N352"/>
    <mergeCell ref="D364:F364"/>
    <mergeCell ref="L356:M356"/>
    <mergeCell ref="I358:N360"/>
    <mergeCell ref="E346:F346"/>
    <mergeCell ref="H346:J346"/>
    <mergeCell ref="D347:F347"/>
    <mergeCell ref="H347:J347"/>
    <mergeCell ref="D348:F348"/>
    <mergeCell ref="H348:J348"/>
    <mergeCell ref="L340:M340"/>
    <mergeCell ref="C322:D322"/>
    <mergeCell ref="E322:F322"/>
    <mergeCell ref="H322:J322"/>
    <mergeCell ref="D323:F323"/>
    <mergeCell ref="H323:J323"/>
    <mergeCell ref="L300:M300"/>
    <mergeCell ref="I302:N304"/>
    <mergeCell ref="D316:F316"/>
    <mergeCell ref="H316:J316"/>
    <mergeCell ref="L308:M308"/>
    <mergeCell ref="L316:M316"/>
    <mergeCell ref="I318:N320"/>
    <mergeCell ref="I310:N312"/>
    <mergeCell ref="H306:J306"/>
    <mergeCell ref="D307:F307"/>
    <mergeCell ref="H307:J307"/>
    <mergeCell ref="D308:F308"/>
    <mergeCell ref="H308:J308"/>
    <mergeCell ref="C266:D266"/>
    <mergeCell ref="E266:F266"/>
    <mergeCell ref="H266:J266"/>
    <mergeCell ref="D267:F267"/>
    <mergeCell ref="H267:J267"/>
    <mergeCell ref="D268:F268"/>
    <mergeCell ref="H268:J268"/>
    <mergeCell ref="L268:M268"/>
    <mergeCell ref="I270:N272"/>
    <mergeCell ref="C250:D250"/>
    <mergeCell ref="E250:F250"/>
    <mergeCell ref="H250:J250"/>
    <mergeCell ref="D251:F251"/>
    <mergeCell ref="H251:J251"/>
    <mergeCell ref="D252:F252"/>
    <mergeCell ref="H252:J252"/>
    <mergeCell ref="L252:M252"/>
    <mergeCell ref="I254:N256"/>
    <mergeCell ref="C242:D242"/>
    <mergeCell ref="E242:F242"/>
    <mergeCell ref="H242:J242"/>
    <mergeCell ref="D243:F243"/>
    <mergeCell ref="H243:J243"/>
    <mergeCell ref="D244:F244"/>
    <mergeCell ref="H244:J244"/>
    <mergeCell ref="L244:M244"/>
    <mergeCell ref="I246:N248"/>
    <mergeCell ref="C210:D210"/>
    <mergeCell ref="E210:F210"/>
    <mergeCell ref="H210:J210"/>
    <mergeCell ref="D211:F211"/>
    <mergeCell ref="H211:J211"/>
    <mergeCell ref="D212:F212"/>
    <mergeCell ref="H212:J212"/>
    <mergeCell ref="L212:M212"/>
    <mergeCell ref="I214:N216"/>
    <mergeCell ref="C162:D162"/>
    <mergeCell ref="E162:F162"/>
    <mergeCell ref="H162:J162"/>
    <mergeCell ref="D163:F163"/>
    <mergeCell ref="H163:J163"/>
    <mergeCell ref="D164:F164"/>
    <mergeCell ref="H164:J164"/>
    <mergeCell ref="L164:M164"/>
    <mergeCell ref="I166:N168"/>
    <mergeCell ref="C138:D138"/>
    <mergeCell ref="E138:F138"/>
    <mergeCell ref="H138:J138"/>
    <mergeCell ref="D139:F139"/>
    <mergeCell ref="H139:J139"/>
    <mergeCell ref="D140:F140"/>
    <mergeCell ref="H140:J140"/>
    <mergeCell ref="L140:M140"/>
    <mergeCell ref="I142:N144"/>
    <mergeCell ref="C130:D130"/>
    <mergeCell ref="E130:F130"/>
    <mergeCell ref="H130:J130"/>
    <mergeCell ref="D131:F131"/>
    <mergeCell ref="H131:J131"/>
    <mergeCell ref="D132:F132"/>
    <mergeCell ref="H132:J132"/>
    <mergeCell ref="L132:M132"/>
    <mergeCell ref="I134:N136"/>
    <mergeCell ref="C122:D122"/>
    <mergeCell ref="E122:F122"/>
    <mergeCell ref="H122:J122"/>
    <mergeCell ref="D123:F123"/>
    <mergeCell ref="H123:J123"/>
    <mergeCell ref="D124:F124"/>
    <mergeCell ref="H124:J124"/>
    <mergeCell ref="L124:M124"/>
    <mergeCell ref="I126:N128"/>
    <mergeCell ref="C106:D106"/>
    <mergeCell ref="E106:F106"/>
    <mergeCell ref="H106:J106"/>
    <mergeCell ref="D107:F107"/>
    <mergeCell ref="H107:J107"/>
    <mergeCell ref="D108:F108"/>
    <mergeCell ref="H108:J108"/>
    <mergeCell ref="L108:M108"/>
    <mergeCell ref="I110:N112"/>
    <mergeCell ref="C98:D98"/>
    <mergeCell ref="E98:F98"/>
    <mergeCell ref="H98:J98"/>
    <mergeCell ref="D99:F99"/>
    <mergeCell ref="H99:J99"/>
    <mergeCell ref="D100:F100"/>
    <mergeCell ref="H100:J100"/>
    <mergeCell ref="L100:M100"/>
    <mergeCell ref="I102:N104"/>
    <mergeCell ref="D84:F84"/>
    <mergeCell ref="H84:J84"/>
    <mergeCell ref="L84:M84"/>
    <mergeCell ref="I86:N88"/>
    <mergeCell ref="C82:D82"/>
    <mergeCell ref="E82:F82"/>
    <mergeCell ref="H82:J82"/>
    <mergeCell ref="D83:F83"/>
    <mergeCell ref="H83:J83"/>
    <mergeCell ref="D76:F76"/>
    <mergeCell ref="H76:J76"/>
    <mergeCell ref="L76:M76"/>
    <mergeCell ref="I78:N80"/>
    <mergeCell ref="C74:D74"/>
    <mergeCell ref="E74:F74"/>
    <mergeCell ref="H74:J74"/>
    <mergeCell ref="D75:F75"/>
    <mergeCell ref="H75:J75"/>
    <mergeCell ref="D68:F68"/>
    <mergeCell ref="H68:J68"/>
    <mergeCell ref="L68:M68"/>
    <mergeCell ref="I70:N72"/>
    <mergeCell ref="C66:D66"/>
    <mergeCell ref="E66:F66"/>
    <mergeCell ref="H66:J66"/>
    <mergeCell ref="D67:F67"/>
    <mergeCell ref="H67:J67"/>
    <mergeCell ref="C50:D50"/>
    <mergeCell ref="E50:F50"/>
    <mergeCell ref="H50:J50"/>
    <mergeCell ref="D51:F51"/>
    <mergeCell ref="H51:J51"/>
    <mergeCell ref="I62:N64"/>
    <mergeCell ref="H59:J59"/>
    <mergeCell ref="D60:F60"/>
    <mergeCell ref="H60:J60"/>
    <mergeCell ref="D52:F52"/>
    <mergeCell ref="H52:J52"/>
    <mergeCell ref="L52:M52"/>
    <mergeCell ref="I54:N56"/>
    <mergeCell ref="C58:D58"/>
    <mergeCell ref="E58:F58"/>
    <mergeCell ref="H58:J58"/>
    <mergeCell ref="D59:F59"/>
    <mergeCell ref="L60:M60"/>
    <mergeCell ref="D36:F36"/>
    <mergeCell ref="H36:J36"/>
    <mergeCell ref="L36:M36"/>
    <mergeCell ref="I38:N40"/>
    <mergeCell ref="C34:D34"/>
    <mergeCell ref="E34:F34"/>
    <mergeCell ref="H34:J34"/>
    <mergeCell ref="D35:F35"/>
    <mergeCell ref="H35:J35"/>
    <mergeCell ref="D28:F28"/>
    <mergeCell ref="H28:J28"/>
    <mergeCell ref="L28:M28"/>
    <mergeCell ref="I30:N32"/>
    <mergeCell ref="C26:D26"/>
    <mergeCell ref="E26:F26"/>
    <mergeCell ref="H26:J26"/>
    <mergeCell ref="D27:F27"/>
    <mergeCell ref="H27:J27"/>
    <mergeCell ref="D12:F12"/>
    <mergeCell ref="H12:J12"/>
    <mergeCell ref="L12:M12"/>
    <mergeCell ref="I14:N16"/>
    <mergeCell ref="C10:D10"/>
    <mergeCell ref="E10:F10"/>
    <mergeCell ref="H10:J10"/>
    <mergeCell ref="D11:F11"/>
    <mergeCell ref="H11:J11"/>
    <mergeCell ref="L4:M4"/>
    <mergeCell ref="I6:N8"/>
    <mergeCell ref="C2:D2"/>
    <mergeCell ref="E2:F2"/>
    <mergeCell ref="H2:J2"/>
    <mergeCell ref="D3:F3"/>
    <mergeCell ref="H3:J3"/>
    <mergeCell ref="D4:F4"/>
    <mergeCell ref="H4:J4"/>
    <mergeCell ref="D20:F20"/>
    <mergeCell ref="H20:J20"/>
    <mergeCell ref="L20:M20"/>
    <mergeCell ref="I22:N24"/>
    <mergeCell ref="C18:D18"/>
    <mergeCell ref="E18:F18"/>
    <mergeCell ref="H18:J18"/>
    <mergeCell ref="D19:F19"/>
    <mergeCell ref="H19:J19"/>
    <mergeCell ref="D44:F44"/>
    <mergeCell ref="H44:J44"/>
    <mergeCell ref="L44:M44"/>
    <mergeCell ref="I46:N48"/>
    <mergeCell ref="C42:D42"/>
    <mergeCell ref="E42:F42"/>
    <mergeCell ref="H42:J42"/>
    <mergeCell ref="D43:F43"/>
    <mergeCell ref="H43:J43"/>
    <mergeCell ref="D92:F92"/>
    <mergeCell ref="H92:J92"/>
    <mergeCell ref="L92:M92"/>
    <mergeCell ref="I94:N96"/>
    <mergeCell ref="C90:D90"/>
    <mergeCell ref="E90:F90"/>
    <mergeCell ref="H90:J90"/>
    <mergeCell ref="D91:F91"/>
    <mergeCell ref="H91:J91"/>
    <mergeCell ref="C114:D114"/>
    <mergeCell ref="E114:F114"/>
    <mergeCell ref="H114:J114"/>
    <mergeCell ref="D115:F115"/>
    <mergeCell ref="H115:J115"/>
    <mergeCell ref="D116:F116"/>
    <mergeCell ref="H116:J116"/>
    <mergeCell ref="L116:M116"/>
    <mergeCell ref="I118:N120"/>
    <mergeCell ref="C146:D146"/>
    <mergeCell ref="E146:F146"/>
    <mergeCell ref="H146:J146"/>
    <mergeCell ref="D147:F147"/>
    <mergeCell ref="H147:J147"/>
    <mergeCell ref="D148:F148"/>
    <mergeCell ref="H148:J148"/>
    <mergeCell ref="L148:M148"/>
    <mergeCell ref="I150:N152"/>
    <mergeCell ref="C154:D154"/>
    <mergeCell ref="E154:F154"/>
    <mergeCell ref="H154:J154"/>
    <mergeCell ref="D155:F155"/>
    <mergeCell ref="H155:J155"/>
    <mergeCell ref="D156:F156"/>
    <mergeCell ref="H156:J156"/>
    <mergeCell ref="L156:M156"/>
    <mergeCell ref="I158:N160"/>
    <mergeCell ref="C170:D170"/>
    <mergeCell ref="E170:F170"/>
    <mergeCell ref="H170:J170"/>
    <mergeCell ref="D171:F171"/>
    <mergeCell ref="H171:J171"/>
    <mergeCell ref="D172:F172"/>
    <mergeCell ref="H172:J172"/>
    <mergeCell ref="L172:M172"/>
    <mergeCell ref="I174:N176"/>
    <mergeCell ref="C178:D178"/>
    <mergeCell ref="E178:F178"/>
    <mergeCell ref="H178:J178"/>
    <mergeCell ref="D179:F179"/>
    <mergeCell ref="H179:J179"/>
    <mergeCell ref="D180:F180"/>
    <mergeCell ref="H180:J180"/>
    <mergeCell ref="L180:M180"/>
    <mergeCell ref="I182:N184"/>
    <mergeCell ref="C186:D186"/>
    <mergeCell ref="E186:F186"/>
    <mergeCell ref="H186:J186"/>
    <mergeCell ref="D187:F187"/>
    <mergeCell ref="H187:J187"/>
    <mergeCell ref="D188:F188"/>
    <mergeCell ref="H188:J188"/>
    <mergeCell ref="L188:M188"/>
    <mergeCell ref="I190:N192"/>
    <mergeCell ref="C194:D194"/>
    <mergeCell ref="E194:F194"/>
    <mergeCell ref="H194:J194"/>
    <mergeCell ref="D195:F195"/>
    <mergeCell ref="H195:J195"/>
    <mergeCell ref="D196:F196"/>
    <mergeCell ref="H196:J196"/>
    <mergeCell ref="L196:M196"/>
    <mergeCell ref="I198:N200"/>
    <mergeCell ref="C202:D202"/>
    <mergeCell ref="E202:F202"/>
    <mergeCell ref="H202:J202"/>
    <mergeCell ref="D203:F203"/>
    <mergeCell ref="H203:J203"/>
    <mergeCell ref="D204:F204"/>
    <mergeCell ref="H204:J204"/>
    <mergeCell ref="L204:M204"/>
    <mergeCell ref="I206:N208"/>
    <mergeCell ref="C218:D218"/>
    <mergeCell ref="E218:F218"/>
    <mergeCell ref="H218:J218"/>
    <mergeCell ref="D219:F219"/>
    <mergeCell ref="H219:J219"/>
    <mergeCell ref="D220:F220"/>
    <mergeCell ref="H220:J220"/>
    <mergeCell ref="L220:M220"/>
    <mergeCell ref="I222:N224"/>
    <mergeCell ref="C226:D226"/>
    <mergeCell ref="E226:F226"/>
    <mergeCell ref="H226:J226"/>
    <mergeCell ref="D227:F227"/>
    <mergeCell ref="H227:J227"/>
    <mergeCell ref="D228:F228"/>
    <mergeCell ref="H228:J228"/>
    <mergeCell ref="L228:M228"/>
    <mergeCell ref="I230:N232"/>
    <mergeCell ref="C234:D234"/>
    <mergeCell ref="E234:F234"/>
    <mergeCell ref="H234:J234"/>
    <mergeCell ref="D235:F235"/>
    <mergeCell ref="H235:J235"/>
    <mergeCell ref="D236:F236"/>
    <mergeCell ref="H236:J236"/>
    <mergeCell ref="L236:M236"/>
    <mergeCell ref="I238:N240"/>
    <mergeCell ref="C258:D258"/>
    <mergeCell ref="E258:F258"/>
    <mergeCell ref="H258:J258"/>
    <mergeCell ref="D259:F259"/>
    <mergeCell ref="H259:J259"/>
    <mergeCell ref="D260:F260"/>
    <mergeCell ref="H260:J260"/>
    <mergeCell ref="L260:M260"/>
    <mergeCell ref="I262:N264"/>
    <mergeCell ref="C274:D274"/>
    <mergeCell ref="E274:F274"/>
    <mergeCell ref="H274:J274"/>
    <mergeCell ref="D275:F275"/>
    <mergeCell ref="H275:J275"/>
    <mergeCell ref="D276:F276"/>
    <mergeCell ref="H276:J276"/>
    <mergeCell ref="L276:M276"/>
    <mergeCell ref="I278:N280"/>
    <mergeCell ref="C282:D282"/>
    <mergeCell ref="E282:F282"/>
    <mergeCell ref="H282:J282"/>
    <mergeCell ref="D283:F283"/>
    <mergeCell ref="H283:J283"/>
    <mergeCell ref="D284:F284"/>
    <mergeCell ref="H284:J284"/>
    <mergeCell ref="L284:M284"/>
    <mergeCell ref="I286:N288"/>
    <mergeCell ref="H291:J291"/>
    <mergeCell ref="D292:F292"/>
    <mergeCell ref="H292:J292"/>
    <mergeCell ref="L292:M292"/>
    <mergeCell ref="I294:N296"/>
    <mergeCell ref="H338:J338"/>
    <mergeCell ref="C290:D290"/>
    <mergeCell ref="E290:F290"/>
    <mergeCell ref="H290:J290"/>
    <mergeCell ref="D291:F291"/>
    <mergeCell ref="C314:D314"/>
    <mergeCell ref="E314:F314"/>
    <mergeCell ref="H314:J314"/>
    <mergeCell ref="D315:F315"/>
    <mergeCell ref="H315:J315"/>
    <mergeCell ref="C298:D298"/>
    <mergeCell ref="E298:F298"/>
    <mergeCell ref="H298:J298"/>
    <mergeCell ref="D299:F299"/>
    <mergeCell ref="H299:J299"/>
    <mergeCell ref="D300:F300"/>
    <mergeCell ref="H300:J300"/>
    <mergeCell ref="C306:D306"/>
    <mergeCell ref="E306:F306"/>
    <mergeCell ref="D324:F324"/>
    <mergeCell ref="H324:J324"/>
    <mergeCell ref="D387:F387"/>
    <mergeCell ref="I382:N384"/>
    <mergeCell ref="C386:D386"/>
    <mergeCell ref="E386:F386"/>
    <mergeCell ref="H386:J386"/>
    <mergeCell ref="C394:D394"/>
    <mergeCell ref="E394:F394"/>
    <mergeCell ref="L324:M324"/>
    <mergeCell ref="I326:N328"/>
    <mergeCell ref="H356:J356"/>
    <mergeCell ref="C330:D330"/>
    <mergeCell ref="E330:F330"/>
    <mergeCell ref="H330:J330"/>
    <mergeCell ref="D331:F331"/>
    <mergeCell ref="H331:J331"/>
    <mergeCell ref="D332:F332"/>
    <mergeCell ref="H332:J332"/>
    <mergeCell ref="L332:M332"/>
    <mergeCell ref="I334:N336"/>
    <mergeCell ref="C338:D338"/>
    <mergeCell ref="E338:F338"/>
    <mergeCell ref="H339:J339"/>
    <mergeCell ref="D395:F395"/>
    <mergeCell ref="H395:J395"/>
    <mergeCell ref="D396:F396"/>
    <mergeCell ref="I422:N424"/>
    <mergeCell ref="I495:N497"/>
    <mergeCell ref="I479:N481"/>
    <mergeCell ref="I671:N673"/>
    <mergeCell ref="I663:N665"/>
    <mergeCell ref="I647:N649"/>
    <mergeCell ref="I631:N633"/>
    <mergeCell ref="I615:N617"/>
    <mergeCell ref="I607:N609"/>
    <mergeCell ref="I591:N593"/>
    <mergeCell ref="I575:N577"/>
    <mergeCell ref="I559:N561"/>
    <mergeCell ref="I487:N489"/>
    <mergeCell ref="I791:N793"/>
    <mergeCell ref="I783:N785"/>
    <mergeCell ref="I775:N777"/>
    <mergeCell ref="I767:N769"/>
    <mergeCell ref="I743:N745"/>
    <mergeCell ref="I759:N761"/>
    <mergeCell ref="I751:N753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91"/>
  <sheetViews>
    <sheetView topLeftCell="A564" workbookViewId="0">
      <selection activeCell="V576" sqref="V576"/>
    </sheetView>
  </sheetViews>
  <sheetFormatPr defaultRowHeight="15" x14ac:dyDescent="0.25"/>
  <cols>
    <col min="2" max="2" width="21" bestFit="1" customWidth="1"/>
    <col min="12" max="12" width="10.140625" customWidth="1"/>
    <col min="14" max="14" width="15.85546875" bestFit="1" customWidth="1"/>
  </cols>
  <sheetData>
    <row r="1" spans="2:16" ht="15.75" thickBot="1" x14ac:dyDescent="0.3"/>
    <row r="2" spans="2:16" ht="16.5" thickTop="1" thickBot="1" x14ac:dyDescent="0.3">
      <c r="B2" s="23" t="s">
        <v>13</v>
      </c>
      <c r="C2" s="230" t="s">
        <v>58</v>
      </c>
      <c r="D2" s="230"/>
      <c r="E2" s="231"/>
      <c r="G2" s="229" t="s">
        <v>56</v>
      </c>
      <c r="H2" s="229"/>
      <c r="I2" s="229"/>
      <c r="J2" s="229"/>
      <c r="K2" s="229"/>
      <c r="L2" s="229"/>
      <c r="M2" s="229"/>
      <c r="N2" s="229"/>
    </row>
    <row r="3" spans="2:16" ht="16.5" thickTop="1" thickBot="1" x14ac:dyDescent="0.3"/>
    <row r="4" spans="2:16" ht="15.75" x14ac:dyDescent="0.25">
      <c r="B4" s="2" t="s">
        <v>0</v>
      </c>
      <c r="C4" s="175" t="s">
        <v>59</v>
      </c>
      <c r="D4" s="176"/>
      <c r="E4" s="177" t="s">
        <v>1</v>
      </c>
      <c r="F4" s="178"/>
      <c r="G4" s="11">
        <v>100</v>
      </c>
      <c r="H4" s="177" t="s">
        <v>2</v>
      </c>
      <c r="I4" s="232"/>
      <c r="J4" s="178"/>
      <c r="K4" s="13"/>
      <c r="L4" s="3"/>
      <c r="M4" s="75" t="s">
        <v>11</v>
      </c>
      <c r="N4" s="76" t="s">
        <v>62</v>
      </c>
      <c r="P4" s="72"/>
    </row>
    <row r="5" spans="2:16" ht="15.75" x14ac:dyDescent="0.25">
      <c r="B5" s="4" t="s">
        <v>3</v>
      </c>
      <c r="C5" s="10"/>
      <c r="D5" s="169" t="s">
        <v>57</v>
      </c>
      <c r="E5" s="170"/>
      <c r="F5" s="171"/>
      <c r="G5" s="18"/>
      <c r="H5" s="169" t="s">
        <v>4</v>
      </c>
      <c r="I5" s="170"/>
      <c r="J5" s="171"/>
      <c r="K5" s="10"/>
      <c r="L5" s="15"/>
      <c r="M5" s="15"/>
      <c r="N5" s="16"/>
      <c r="P5" s="72"/>
    </row>
    <row r="6" spans="2:16" ht="15.75" x14ac:dyDescent="0.25">
      <c r="B6" s="4" t="s">
        <v>5</v>
      </c>
      <c r="C6" s="19">
        <v>38</v>
      </c>
      <c r="D6" s="169" t="s">
        <v>8</v>
      </c>
      <c r="E6" s="170"/>
      <c r="F6" s="171"/>
      <c r="G6" s="17"/>
      <c r="H6" s="169" t="s">
        <v>9</v>
      </c>
      <c r="I6" s="170"/>
      <c r="J6" s="171"/>
      <c r="K6" s="12"/>
      <c r="L6" s="169" t="s">
        <v>6</v>
      </c>
      <c r="M6" s="171"/>
      <c r="N6" s="20">
        <v>2.9</v>
      </c>
      <c r="P6" s="72"/>
    </row>
    <row r="7" spans="2:16" ht="16.5" thickBot="1" x14ac:dyDescent="0.3">
      <c r="B7" s="5"/>
      <c r="C7" s="9"/>
      <c r="D7" s="9"/>
      <c r="E7" s="9"/>
      <c r="F7" s="9"/>
      <c r="G7" s="9"/>
      <c r="I7" s="21"/>
      <c r="J7" s="21"/>
      <c r="K7" s="21"/>
      <c r="L7" s="21"/>
      <c r="M7" s="21"/>
      <c r="N7" s="6"/>
      <c r="P7" s="72"/>
    </row>
    <row r="8" spans="2:16" ht="15.75" customHeight="1" x14ac:dyDescent="0.25">
      <c r="B8" s="7" t="s">
        <v>7</v>
      </c>
      <c r="C8" s="1">
        <v>1</v>
      </c>
      <c r="D8" s="1">
        <v>2</v>
      </c>
      <c r="E8" s="1">
        <v>3</v>
      </c>
      <c r="F8" s="1">
        <v>4</v>
      </c>
      <c r="G8" s="1">
        <v>5</v>
      </c>
      <c r="H8" s="24">
        <v>6</v>
      </c>
      <c r="I8" s="160" t="s">
        <v>63</v>
      </c>
      <c r="J8" s="161"/>
      <c r="K8" s="161"/>
      <c r="L8" s="161"/>
      <c r="M8" s="161"/>
      <c r="N8" s="162"/>
      <c r="P8" s="72"/>
    </row>
    <row r="9" spans="2:16" ht="16.5" thickBot="1" x14ac:dyDescent="0.3">
      <c r="B9" s="8" t="s">
        <v>10</v>
      </c>
      <c r="C9" s="14">
        <v>1021</v>
      </c>
      <c r="D9" s="14">
        <v>820</v>
      </c>
      <c r="E9" s="14">
        <v>755</v>
      </c>
      <c r="F9" s="14">
        <v>980</v>
      </c>
      <c r="G9" s="14">
        <v>825</v>
      </c>
      <c r="H9" s="25">
        <v>950</v>
      </c>
      <c r="I9" s="163"/>
      <c r="J9" s="164"/>
      <c r="K9" s="164"/>
      <c r="L9" s="164"/>
      <c r="M9" s="164"/>
      <c r="N9" s="165"/>
      <c r="P9" s="72"/>
    </row>
    <row r="10" spans="2:16" ht="16.5" thickBot="1" x14ac:dyDescent="0.3">
      <c r="B10" s="22" t="s">
        <v>12</v>
      </c>
      <c r="C10" s="73"/>
      <c r="D10" s="73"/>
      <c r="E10" s="73"/>
      <c r="F10" s="73"/>
      <c r="G10" s="73"/>
      <c r="H10" s="74"/>
      <c r="I10" s="166"/>
      <c r="J10" s="167"/>
      <c r="K10" s="167"/>
      <c r="L10" s="167"/>
      <c r="M10" s="167"/>
      <c r="N10" s="168"/>
    </row>
    <row r="11" spans="2:16" ht="15.75" thickBot="1" x14ac:dyDescent="0.3"/>
    <row r="12" spans="2:16" ht="15.75" customHeight="1" x14ac:dyDescent="0.25">
      <c r="B12" s="2" t="s">
        <v>0</v>
      </c>
      <c r="C12" s="175" t="s">
        <v>59</v>
      </c>
      <c r="D12" s="176"/>
      <c r="E12" s="177" t="s">
        <v>1</v>
      </c>
      <c r="F12" s="178"/>
      <c r="G12" s="11">
        <v>100</v>
      </c>
      <c r="H12" s="177" t="s">
        <v>2</v>
      </c>
      <c r="I12" s="232"/>
      <c r="J12" s="178"/>
      <c r="K12" s="13">
        <v>100</v>
      </c>
      <c r="L12" s="3"/>
      <c r="M12" s="75" t="s">
        <v>11</v>
      </c>
      <c r="N12" s="76">
        <v>44080</v>
      </c>
    </row>
    <row r="13" spans="2:16" ht="15.75" x14ac:dyDescent="0.25">
      <c r="B13" s="4" t="s">
        <v>3</v>
      </c>
      <c r="C13" s="10">
        <v>443</v>
      </c>
      <c r="D13" s="169" t="s">
        <v>57</v>
      </c>
      <c r="E13" s="170"/>
      <c r="F13" s="171"/>
      <c r="G13" s="18">
        <v>3277</v>
      </c>
      <c r="H13" s="169" t="s">
        <v>4</v>
      </c>
      <c r="I13" s="170"/>
      <c r="J13" s="171"/>
      <c r="K13" s="10">
        <v>47</v>
      </c>
      <c r="L13" s="15"/>
      <c r="M13" s="15"/>
      <c r="N13" s="16"/>
    </row>
    <row r="14" spans="2:16" ht="15.75" x14ac:dyDescent="0.25">
      <c r="B14" s="4" t="s">
        <v>5</v>
      </c>
      <c r="C14" s="19">
        <v>38</v>
      </c>
      <c r="D14" s="169" t="s">
        <v>8</v>
      </c>
      <c r="E14" s="170"/>
      <c r="F14" s="171"/>
      <c r="G14" s="17">
        <v>0.4</v>
      </c>
      <c r="H14" s="169" t="s">
        <v>9</v>
      </c>
      <c r="I14" s="170"/>
      <c r="J14" s="171"/>
      <c r="K14" s="12">
        <v>0.6</v>
      </c>
      <c r="L14" s="169" t="s">
        <v>6</v>
      </c>
      <c r="M14" s="171"/>
      <c r="N14" s="20">
        <v>2.9</v>
      </c>
    </row>
    <row r="15" spans="2:16" ht="16.5" thickBot="1" x14ac:dyDescent="0.3">
      <c r="B15" s="5"/>
      <c r="C15" s="9"/>
      <c r="D15" s="9"/>
      <c r="E15" s="9"/>
      <c r="F15" s="9"/>
      <c r="G15" s="9"/>
      <c r="I15" s="21"/>
      <c r="J15" s="21"/>
      <c r="K15" s="21"/>
      <c r="L15" s="21"/>
      <c r="M15" s="21"/>
      <c r="N15" s="6"/>
    </row>
    <row r="16" spans="2:16" ht="15.75" customHeight="1" x14ac:dyDescent="0.25">
      <c r="B16" s="7" t="s">
        <v>7</v>
      </c>
      <c r="C16" s="1">
        <v>1</v>
      </c>
      <c r="D16" s="1">
        <v>2</v>
      </c>
      <c r="E16" s="1">
        <v>3</v>
      </c>
      <c r="F16" s="1">
        <v>4</v>
      </c>
      <c r="G16" s="1">
        <v>5</v>
      </c>
      <c r="H16" s="77">
        <v>6</v>
      </c>
      <c r="I16" s="160" t="s">
        <v>60</v>
      </c>
      <c r="J16" s="161"/>
      <c r="K16" s="161"/>
      <c r="L16" s="161"/>
      <c r="M16" s="161"/>
      <c r="N16" s="162"/>
    </row>
    <row r="17" spans="2:14" ht="16.5" thickBot="1" x14ac:dyDescent="0.3">
      <c r="B17" s="8" t="s">
        <v>10</v>
      </c>
      <c r="C17" s="14">
        <v>31</v>
      </c>
      <c r="D17" s="14">
        <v>31</v>
      </c>
      <c r="E17" s="14">
        <v>33</v>
      </c>
      <c r="F17" s="14">
        <v>30</v>
      </c>
      <c r="G17" s="14">
        <v>36</v>
      </c>
      <c r="H17" s="25">
        <v>36</v>
      </c>
      <c r="I17" s="163"/>
      <c r="J17" s="164"/>
      <c r="K17" s="164"/>
      <c r="L17" s="164"/>
      <c r="M17" s="164"/>
      <c r="N17" s="165"/>
    </row>
    <row r="18" spans="2:14" ht="16.5" thickBot="1" x14ac:dyDescent="0.3">
      <c r="B18" s="22" t="s">
        <v>12</v>
      </c>
      <c r="C18" s="73">
        <v>109</v>
      </c>
      <c r="D18" s="73">
        <v>120</v>
      </c>
      <c r="E18" s="73">
        <v>162</v>
      </c>
      <c r="F18" s="73">
        <v>159</v>
      </c>
      <c r="G18" s="73">
        <v>123</v>
      </c>
      <c r="H18" s="78">
        <v>150</v>
      </c>
      <c r="I18" s="166"/>
      <c r="J18" s="167"/>
      <c r="K18" s="167"/>
      <c r="L18" s="167"/>
      <c r="M18" s="167"/>
      <c r="N18" s="168"/>
    </row>
    <row r="19" spans="2:14" ht="15.75" thickBot="1" x14ac:dyDescent="0.3">
      <c r="H19" s="79"/>
      <c r="I19" s="79"/>
      <c r="J19" s="79"/>
      <c r="K19" s="79"/>
      <c r="L19" s="79"/>
      <c r="M19" s="79"/>
      <c r="N19" s="79"/>
    </row>
    <row r="20" spans="2:14" ht="15.75" customHeight="1" x14ac:dyDescent="0.25">
      <c r="B20" s="2" t="s">
        <v>0</v>
      </c>
      <c r="C20" s="175" t="s">
        <v>59</v>
      </c>
      <c r="D20" s="176"/>
      <c r="E20" s="177" t="s">
        <v>1</v>
      </c>
      <c r="F20" s="178"/>
      <c r="G20" s="11">
        <v>100</v>
      </c>
      <c r="H20" s="179" t="s">
        <v>2</v>
      </c>
      <c r="I20" s="180"/>
      <c r="J20" s="181"/>
      <c r="K20" s="13">
        <v>100</v>
      </c>
      <c r="L20" s="3"/>
      <c r="M20" s="80" t="s">
        <v>11</v>
      </c>
      <c r="N20" s="76" t="s">
        <v>66</v>
      </c>
    </row>
    <row r="21" spans="2:14" ht="15.75" x14ac:dyDescent="0.25">
      <c r="B21" s="4" t="s">
        <v>3</v>
      </c>
      <c r="C21" s="10">
        <v>616</v>
      </c>
      <c r="D21" s="169" t="s">
        <v>57</v>
      </c>
      <c r="E21" s="170"/>
      <c r="F21" s="171"/>
      <c r="G21" s="18">
        <v>7851</v>
      </c>
      <c r="H21" s="172" t="s">
        <v>4</v>
      </c>
      <c r="I21" s="173"/>
      <c r="J21" s="174"/>
      <c r="K21" s="10">
        <v>60</v>
      </c>
      <c r="L21" s="15"/>
      <c r="M21" s="15"/>
      <c r="N21" s="16"/>
    </row>
    <row r="22" spans="2:14" ht="15.75" x14ac:dyDescent="0.25">
      <c r="B22" s="4" t="s">
        <v>5</v>
      </c>
      <c r="C22" s="19">
        <v>68</v>
      </c>
      <c r="D22" s="169" t="s">
        <v>8</v>
      </c>
      <c r="E22" s="170"/>
      <c r="F22" s="171"/>
      <c r="G22" s="17">
        <v>0.4</v>
      </c>
      <c r="H22" s="172" t="s">
        <v>9</v>
      </c>
      <c r="I22" s="173"/>
      <c r="J22" s="174"/>
      <c r="K22" s="12">
        <v>0.6</v>
      </c>
      <c r="L22" s="172" t="s">
        <v>6</v>
      </c>
      <c r="M22" s="174"/>
      <c r="N22" s="20">
        <v>2.9</v>
      </c>
    </row>
    <row r="23" spans="2:14" ht="16.5" thickBot="1" x14ac:dyDescent="0.3">
      <c r="B23" s="5"/>
      <c r="C23" s="9"/>
      <c r="D23" s="9"/>
      <c r="E23" s="9"/>
      <c r="F23" s="9"/>
      <c r="G23" s="9"/>
      <c r="H23" s="79"/>
      <c r="I23" s="21"/>
      <c r="J23" s="21"/>
      <c r="K23" s="21"/>
      <c r="L23" s="21"/>
      <c r="M23" s="21"/>
      <c r="N23" s="6"/>
    </row>
    <row r="24" spans="2:14" ht="15.6" customHeight="1" x14ac:dyDescent="0.25">
      <c r="B24" s="7" t="s">
        <v>7</v>
      </c>
      <c r="C24" s="1">
        <v>1</v>
      </c>
      <c r="D24" s="1">
        <v>2</v>
      </c>
      <c r="E24" s="1">
        <v>3</v>
      </c>
      <c r="F24" s="1">
        <v>4</v>
      </c>
      <c r="G24" s="1">
        <v>5</v>
      </c>
      <c r="H24" s="77">
        <v>6</v>
      </c>
      <c r="I24" s="160" t="s">
        <v>64</v>
      </c>
      <c r="J24" s="161"/>
      <c r="K24" s="161"/>
      <c r="L24" s="161"/>
      <c r="M24" s="161"/>
      <c r="N24" s="162"/>
    </row>
    <row r="25" spans="2:14" ht="16.5" thickBot="1" x14ac:dyDescent="0.3">
      <c r="B25" s="8" t="s">
        <v>10</v>
      </c>
      <c r="C25" s="14">
        <v>27</v>
      </c>
      <c r="D25" s="14">
        <v>27</v>
      </c>
      <c r="E25" s="14">
        <v>34</v>
      </c>
      <c r="F25" s="14">
        <v>28</v>
      </c>
      <c r="G25" s="14">
        <v>33</v>
      </c>
      <c r="H25" s="25">
        <v>37</v>
      </c>
      <c r="I25" s="163"/>
      <c r="J25" s="164"/>
      <c r="K25" s="164"/>
      <c r="L25" s="164"/>
      <c r="M25" s="164"/>
      <c r="N25" s="165"/>
    </row>
    <row r="26" spans="2:14" ht="16.5" thickBot="1" x14ac:dyDescent="0.3">
      <c r="B26" s="22" t="s">
        <v>12</v>
      </c>
      <c r="C26" s="73">
        <v>143</v>
      </c>
      <c r="D26" s="73">
        <v>160</v>
      </c>
      <c r="E26" s="73">
        <v>121</v>
      </c>
      <c r="F26" s="73">
        <v>146</v>
      </c>
      <c r="G26" s="73">
        <v>134</v>
      </c>
      <c r="H26" s="78">
        <v>124</v>
      </c>
      <c r="I26" s="166"/>
      <c r="J26" s="167"/>
      <c r="K26" s="167"/>
      <c r="L26" s="167"/>
      <c r="M26" s="167"/>
      <c r="N26" s="168"/>
    </row>
    <row r="27" spans="2:14" ht="15.75" thickBot="1" x14ac:dyDescent="0.3">
      <c r="H27" s="79"/>
      <c r="I27" s="79"/>
      <c r="J27" s="79"/>
      <c r="K27" s="79"/>
      <c r="L27" s="79"/>
      <c r="M27" s="79"/>
      <c r="N27" s="79"/>
    </row>
    <row r="28" spans="2:14" ht="15.75" x14ac:dyDescent="0.25">
      <c r="B28" s="2" t="s">
        <v>0</v>
      </c>
      <c r="C28" s="175" t="s">
        <v>59</v>
      </c>
      <c r="D28" s="176"/>
      <c r="E28" s="177" t="s">
        <v>1</v>
      </c>
      <c r="F28" s="178"/>
      <c r="G28" s="11">
        <v>100</v>
      </c>
      <c r="H28" s="179" t="s">
        <v>2</v>
      </c>
      <c r="I28" s="180"/>
      <c r="J28" s="181"/>
      <c r="K28" s="13">
        <v>100</v>
      </c>
      <c r="L28" s="3"/>
      <c r="M28" s="80" t="s">
        <v>11</v>
      </c>
      <c r="N28" s="76" t="s">
        <v>67</v>
      </c>
    </row>
    <row r="29" spans="2:14" ht="15.75" x14ac:dyDescent="0.25">
      <c r="B29" s="4" t="s">
        <v>3</v>
      </c>
      <c r="C29" s="10">
        <v>756</v>
      </c>
      <c r="D29" s="169" t="s">
        <v>57</v>
      </c>
      <c r="E29" s="170"/>
      <c r="F29" s="171"/>
      <c r="G29" s="18">
        <v>6590</v>
      </c>
      <c r="H29" s="172" t="s">
        <v>4</v>
      </c>
      <c r="I29" s="173"/>
      <c r="J29" s="174"/>
      <c r="K29" s="10">
        <v>58</v>
      </c>
      <c r="L29" s="15"/>
      <c r="M29" s="15"/>
      <c r="N29" s="16"/>
    </row>
    <row r="30" spans="2:14" ht="15.75" x14ac:dyDescent="0.25">
      <c r="B30" s="4" t="s">
        <v>5</v>
      </c>
      <c r="C30" s="19">
        <v>59</v>
      </c>
      <c r="D30" s="169" t="s">
        <v>8</v>
      </c>
      <c r="E30" s="170"/>
      <c r="F30" s="171"/>
      <c r="G30" s="17">
        <v>0.4</v>
      </c>
      <c r="H30" s="172" t="s">
        <v>9</v>
      </c>
      <c r="I30" s="173"/>
      <c r="J30" s="174"/>
      <c r="K30" s="12">
        <v>1.1599999999999999</v>
      </c>
      <c r="L30" s="172" t="s">
        <v>6</v>
      </c>
      <c r="M30" s="174"/>
      <c r="N30" s="20">
        <v>2.9</v>
      </c>
    </row>
    <row r="31" spans="2:14" ht="16.5" thickBot="1" x14ac:dyDescent="0.3">
      <c r="B31" s="5"/>
      <c r="C31" s="9"/>
      <c r="D31" s="9"/>
      <c r="E31" s="9"/>
      <c r="F31" s="9"/>
      <c r="G31" s="9"/>
      <c r="H31" s="79"/>
      <c r="I31" s="21"/>
      <c r="J31" s="21"/>
      <c r="K31" s="21"/>
      <c r="L31" s="21"/>
      <c r="M31" s="21"/>
      <c r="N31" s="6"/>
    </row>
    <row r="32" spans="2:14" ht="15.75" x14ac:dyDescent="0.25">
      <c r="B32" s="7" t="s">
        <v>7</v>
      </c>
      <c r="C32" s="1">
        <v>1</v>
      </c>
      <c r="D32" s="1">
        <v>2</v>
      </c>
      <c r="E32" s="1">
        <v>3</v>
      </c>
      <c r="F32" s="1">
        <v>4</v>
      </c>
      <c r="G32" s="1">
        <v>5</v>
      </c>
      <c r="H32" s="77">
        <v>6</v>
      </c>
      <c r="I32" s="160" t="s">
        <v>61</v>
      </c>
      <c r="J32" s="220"/>
      <c r="K32" s="220"/>
      <c r="L32" s="220"/>
      <c r="M32" s="220"/>
      <c r="N32" s="221"/>
    </row>
    <row r="33" spans="2:14" ht="16.5" thickBot="1" x14ac:dyDescent="0.3">
      <c r="B33" s="8" t="s">
        <v>10</v>
      </c>
      <c r="C33" s="14">
        <v>25</v>
      </c>
      <c r="D33" s="14">
        <v>25</v>
      </c>
      <c r="E33" s="14">
        <v>25</v>
      </c>
      <c r="F33" s="14">
        <v>25</v>
      </c>
      <c r="G33" s="14">
        <v>22</v>
      </c>
      <c r="H33" s="25">
        <v>24</v>
      </c>
      <c r="I33" s="222"/>
      <c r="J33" s="223"/>
      <c r="K33" s="223"/>
      <c r="L33" s="223"/>
      <c r="M33" s="223"/>
      <c r="N33" s="224"/>
    </row>
    <row r="34" spans="2:14" ht="16.5" thickBot="1" x14ac:dyDescent="0.3">
      <c r="B34" s="22" t="s">
        <v>12</v>
      </c>
      <c r="C34" s="73">
        <v>90</v>
      </c>
      <c r="D34" s="73">
        <v>90</v>
      </c>
      <c r="E34" s="73">
        <v>125</v>
      </c>
      <c r="F34" s="73">
        <v>109</v>
      </c>
      <c r="G34" s="73">
        <v>110</v>
      </c>
      <c r="H34" s="78">
        <v>103</v>
      </c>
      <c r="I34" s="225"/>
      <c r="J34" s="226"/>
      <c r="K34" s="226"/>
      <c r="L34" s="226"/>
      <c r="M34" s="226"/>
      <c r="N34" s="227"/>
    </row>
    <row r="35" spans="2:14" ht="15.75" thickBot="1" x14ac:dyDescent="0.3">
      <c r="H35" s="79"/>
      <c r="I35" s="79"/>
      <c r="J35" s="79"/>
      <c r="K35" s="79"/>
      <c r="L35" s="79"/>
      <c r="M35" s="79"/>
      <c r="N35" s="79"/>
    </row>
    <row r="36" spans="2:14" ht="15.75" x14ac:dyDescent="0.25">
      <c r="B36" s="2" t="s">
        <v>0</v>
      </c>
      <c r="C36" s="175" t="s">
        <v>59</v>
      </c>
      <c r="D36" s="176"/>
      <c r="E36" s="177" t="s">
        <v>1</v>
      </c>
      <c r="F36" s="178"/>
      <c r="G36" s="11">
        <v>100</v>
      </c>
      <c r="H36" s="179" t="s">
        <v>2</v>
      </c>
      <c r="I36" s="180"/>
      <c r="J36" s="181"/>
      <c r="K36" s="11">
        <v>100</v>
      </c>
      <c r="L36" s="3"/>
      <c r="M36" s="80" t="s">
        <v>11</v>
      </c>
      <c r="N36" s="76">
        <v>44015</v>
      </c>
    </row>
    <row r="37" spans="2:14" ht="15.75" x14ac:dyDescent="0.25">
      <c r="B37" s="4" t="s">
        <v>3</v>
      </c>
      <c r="C37" s="10">
        <v>924</v>
      </c>
      <c r="D37" s="169" t="s">
        <v>57</v>
      </c>
      <c r="E37" s="170"/>
      <c r="F37" s="171"/>
      <c r="G37" s="18">
        <v>5162</v>
      </c>
      <c r="H37" s="172" t="s">
        <v>4</v>
      </c>
      <c r="I37" s="173"/>
      <c r="J37" s="174"/>
      <c r="K37" s="10">
        <v>54</v>
      </c>
      <c r="L37" s="15"/>
      <c r="M37" s="15"/>
      <c r="N37" s="16"/>
    </row>
    <row r="38" spans="2:14" ht="15.75" x14ac:dyDescent="0.25">
      <c r="B38" s="4" t="s">
        <v>5</v>
      </c>
      <c r="C38" s="19">
        <v>52</v>
      </c>
      <c r="D38" s="169" t="s">
        <v>8</v>
      </c>
      <c r="E38" s="170"/>
      <c r="F38" s="171"/>
      <c r="G38" s="17">
        <v>0.4</v>
      </c>
      <c r="H38" s="172" t="s">
        <v>9</v>
      </c>
      <c r="I38" s="173"/>
      <c r="J38" s="174"/>
      <c r="K38" s="12">
        <v>1.1599999999999999</v>
      </c>
      <c r="L38" s="172" t="s">
        <v>6</v>
      </c>
      <c r="M38" s="174"/>
      <c r="N38" s="20">
        <v>2.9</v>
      </c>
    </row>
    <row r="39" spans="2:14" ht="16.5" thickBot="1" x14ac:dyDescent="0.3">
      <c r="B39" s="5"/>
      <c r="C39" s="9"/>
      <c r="D39" s="9"/>
      <c r="E39" s="9"/>
      <c r="F39" s="9"/>
      <c r="G39" s="9"/>
      <c r="H39" s="79"/>
      <c r="I39" s="21"/>
      <c r="J39" s="21"/>
      <c r="K39" s="21"/>
      <c r="L39" s="21"/>
      <c r="M39" s="21"/>
      <c r="N39" s="6"/>
    </row>
    <row r="40" spans="2:14" ht="15.75" x14ac:dyDescent="0.25">
      <c r="B40" s="7" t="s">
        <v>7</v>
      </c>
      <c r="C40" s="1">
        <v>1</v>
      </c>
      <c r="D40" s="1">
        <v>2</v>
      </c>
      <c r="E40" s="1">
        <v>3</v>
      </c>
      <c r="F40" s="1">
        <v>4</v>
      </c>
      <c r="G40" s="1">
        <v>5</v>
      </c>
      <c r="H40" s="77">
        <v>6</v>
      </c>
      <c r="I40" s="160" t="s">
        <v>65</v>
      </c>
      <c r="J40" s="220"/>
      <c r="K40" s="220"/>
      <c r="L40" s="220"/>
      <c r="M40" s="220"/>
      <c r="N40" s="221"/>
    </row>
    <row r="41" spans="2:14" ht="16.5" thickBot="1" x14ac:dyDescent="0.3">
      <c r="B41" s="8" t="s">
        <v>10</v>
      </c>
      <c r="C41" s="14">
        <v>22</v>
      </c>
      <c r="D41" s="14">
        <v>27</v>
      </c>
      <c r="E41" s="14">
        <v>24</v>
      </c>
      <c r="F41" s="14">
        <v>25</v>
      </c>
      <c r="G41" s="14">
        <v>24</v>
      </c>
      <c r="H41" s="25">
        <v>23</v>
      </c>
      <c r="I41" s="222"/>
      <c r="J41" s="223"/>
      <c r="K41" s="223"/>
      <c r="L41" s="223"/>
      <c r="M41" s="223"/>
      <c r="N41" s="224"/>
    </row>
    <row r="42" spans="2:14" ht="16.5" thickBot="1" x14ac:dyDescent="0.3">
      <c r="B42" s="22" t="s">
        <v>12</v>
      </c>
      <c r="C42" s="73">
        <v>96</v>
      </c>
      <c r="D42" s="73">
        <v>76</v>
      </c>
      <c r="E42" s="73">
        <v>120</v>
      </c>
      <c r="F42" s="73">
        <v>92</v>
      </c>
      <c r="G42" s="73">
        <v>110</v>
      </c>
      <c r="H42" s="78">
        <v>97</v>
      </c>
      <c r="I42" s="225"/>
      <c r="J42" s="226"/>
      <c r="K42" s="226"/>
      <c r="L42" s="226"/>
      <c r="M42" s="226"/>
      <c r="N42" s="227"/>
    </row>
    <row r="43" spans="2:14" ht="15.75" thickBot="1" x14ac:dyDescent="0.3">
      <c r="H43" s="79"/>
      <c r="I43" s="79"/>
      <c r="J43" s="79"/>
      <c r="K43" s="79"/>
      <c r="L43" s="79"/>
      <c r="M43" s="79"/>
      <c r="N43" s="79"/>
    </row>
    <row r="44" spans="2:14" ht="15.75" x14ac:dyDescent="0.25">
      <c r="B44" s="2" t="s">
        <v>0</v>
      </c>
      <c r="C44" s="175" t="s">
        <v>59</v>
      </c>
      <c r="D44" s="176"/>
      <c r="E44" s="177" t="s">
        <v>1</v>
      </c>
      <c r="F44" s="178"/>
      <c r="G44" s="11">
        <v>100</v>
      </c>
      <c r="H44" s="179" t="s">
        <v>2</v>
      </c>
      <c r="I44" s="180"/>
      <c r="J44" s="181"/>
      <c r="K44" s="11">
        <v>100</v>
      </c>
      <c r="L44" s="3"/>
      <c r="M44" s="80" t="s">
        <v>11</v>
      </c>
      <c r="N44" s="76">
        <v>44028</v>
      </c>
    </row>
    <row r="45" spans="2:14" ht="15.75" x14ac:dyDescent="0.25">
      <c r="B45" s="4" t="s">
        <v>3</v>
      </c>
      <c r="C45" s="81">
        <v>1185</v>
      </c>
      <c r="D45" s="169" t="s">
        <v>57</v>
      </c>
      <c r="E45" s="170"/>
      <c r="F45" s="171"/>
      <c r="G45" s="82">
        <v>5163</v>
      </c>
      <c r="H45" s="172" t="s">
        <v>4</v>
      </c>
      <c r="I45" s="173"/>
      <c r="J45" s="174"/>
      <c r="K45" s="10">
        <v>58</v>
      </c>
      <c r="L45" s="15"/>
      <c r="M45" s="15"/>
      <c r="N45" s="16"/>
    </row>
    <row r="46" spans="2:14" ht="15.75" x14ac:dyDescent="0.25">
      <c r="B46" s="4" t="s">
        <v>5</v>
      </c>
      <c r="C46" s="19">
        <v>52</v>
      </c>
      <c r="D46" s="169" t="s">
        <v>8</v>
      </c>
      <c r="E46" s="170"/>
      <c r="F46" s="171"/>
      <c r="G46" s="17">
        <v>0.4</v>
      </c>
      <c r="H46" s="172" t="s">
        <v>9</v>
      </c>
      <c r="I46" s="173"/>
      <c r="J46" s="174"/>
      <c r="K46" s="12">
        <v>1.1599999999999999</v>
      </c>
      <c r="L46" s="172" t="s">
        <v>6</v>
      </c>
      <c r="M46" s="174"/>
      <c r="N46" s="20">
        <v>3.3</v>
      </c>
    </row>
    <row r="47" spans="2:14" ht="16.5" thickBot="1" x14ac:dyDescent="0.3">
      <c r="B47" s="5"/>
      <c r="C47" s="9"/>
      <c r="D47" s="9"/>
      <c r="E47" s="9"/>
      <c r="F47" s="9"/>
      <c r="G47" s="9"/>
      <c r="H47" s="79"/>
      <c r="I47" s="21"/>
      <c r="J47" s="21"/>
      <c r="K47" s="21"/>
      <c r="L47" s="21"/>
      <c r="M47" s="21"/>
      <c r="N47" s="6"/>
    </row>
    <row r="48" spans="2:14" ht="15.75" x14ac:dyDescent="0.25">
      <c r="B48" s="7" t="s">
        <v>7</v>
      </c>
      <c r="C48" s="1">
        <v>1</v>
      </c>
      <c r="D48" s="1">
        <v>2</v>
      </c>
      <c r="E48" s="1">
        <v>3</v>
      </c>
      <c r="F48" s="1">
        <v>4</v>
      </c>
      <c r="G48" s="1">
        <v>5</v>
      </c>
      <c r="H48" s="77">
        <v>6</v>
      </c>
      <c r="I48" s="160" t="s">
        <v>68</v>
      </c>
      <c r="J48" s="220"/>
      <c r="K48" s="220"/>
      <c r="L48" s="220"/>
      <c r="M48" s="220"/>
      <c r="N48" s="221"/>
    </row>
    <row r="49" spans="2:14" ht="16.5" thickBot="1" x14ac:dyDescent="0.3">
      <c r="B49" s="8" t="s">
        <v>10</v>
      </c>
      <c r="C49" s="14">
        <v>25</v>
      </c>
      <c r="D49" s="14">
        <v>27</v>
      </c>
      <c r="E49" s="14">
        <v>28</v>
      </c>
      <c r="F49" s="14">
        <v>24</v>
      </c>
      <c r="G49" s="14">
        <v>25</v>
      </c>
      <c r="H49" s="25">
        <v>26</v>
      </c>
      <c r="I49" s="222"/>
      <c r="J49" s="223"/>
      <c r="K49" s="223"/>
      <c r="L49" s="223"/>
      <c r="M49" s="223"/>
      <c r="N49" s="224"/>
    </row>
    <row r="50" spans="2:14" ht="16.5" thickBot="1" x14ac:dyDescent="0.3">
      <c r="B50" s="22" t="s">
        <v>12</v>
      </c>
      <c r="C50" s="73">
        <v>87</v>
      </c>
      <c r="D50" s="73">
        <v>144</v>
      </c>
      <c r="E50" s="73">
        <v>91</v>
      </c>
      <c r="F50" s="73">
        <v>70</v>
      </c>
      <c r="G50" s="73">
        <v>93</v>
      </c>
      <c r="H50" s="78">
        <v>54</v>
      </c>
      <c r="I50" s="225"/>
      <c r="J50" s="226"/>
      <c r="K50" s="226"/>
      <c r="L50" s="226"/>
      <c r="M50" s="226"/>
      <c r="N50" s="227"/>
    </row>
    <row r="51" spans="2:14" ht="15.75" thickBot="1" x14ac:dyDescent="0.3">
      <c r="H51" s="79"/>
      <c r="I51" s="79"/>
      <c r="J51" s="79"/>
      <c r="K51" s="79"/>
      <c r="L51" s="79"/>
      <c r="M51" s="79"/>
      <c r="N51" s="79"/>
    </row>
    <row r="52" spans="2:14" ht="15.75" x14ac:dyDescent="0.25">
      <c r="B52" s="2" t="s">
        <v>0</v>
      </c>
      <c r="C52" s="175" t="s">
        <v>59</v>
      </c>
      <c r="D52" s="176"/>
      <c r="E52" s="177" t="s">
        <v>1</v>
      </c>
      <c r="F52" s="178"/>
      <c r="G52" s="11">
        <v>100</v>
      </c>
      <c r="H52" s="179" t="s">
        <v>2</v>
      </c>
      <c r="I52" s="180"/>
      <c r="J52" s="181"/>
      <c r="K52" s="13">
        <v>100</v>
      </c>
      <c r="L52" s="3"/>
      <c r="M52" s="80" t="s">
        <v>11</v>
      </c>
      <c r="N52" s="76">
        <v>44036</v>
      </c>
    </row>
    <row r="53" spans="2:14" ht="15.75" x14ac:dyDescent="0.25">
      <c r="B53" s="4" t="s">
        <v>3</v>
      </c>
      <c r="C53" s="81">
        <v>1359</v>
      </c>
      <c r="D53" s="169" t="s">
        <v>57</v>
      </c>
      <c r="E53" s="170"/>
      <c r="F53" s="171"/>
      <c r="G53" s="82">
        <v>3592</v>
      </c>
      <c r="H53" s="172" t="s">
        <v>4</v>
      </c>
      <c r="I53" s="173"/>
      <c r="J53" s="174"/>
      <c r="K53" s="10">
        <v>47</v>
      </c>
      <c r="L53" s="15"/>
      <c r="M53" s="15"/>
      <c r="N53" s="16"/>
    </row>
    <row r="54" spans="2:14" ht="15.75" x14ac:dyDescent="0.25">
      <c r="B54" s="4" t="s">
        <v>5</v>
      </c>
      <c r="C54" s="19">
        <v>43</v>
      </c>
      <c r="D54" s="169" t="s">
        <v>8</v>
      </c>
      <c r="E54" s="170"/>
      <c r="F54" s="171"/>
      <c r="G54" s="17">
        <v>0.4</v>
      </c>
      <c r="H54" s="172" t="s">
        <v>9</v>
      </c>
      <c r="I54" s="173"/>
      <c r="J54" s="174"/>
      <c r="K54" s="12">
        <v>1.32</v>
      </c>
      <c r="L54" s="172" t="s">
        <v>6</v>
      </c>
      <c r="M54" s="174"/>
      <c r="N54" s="20">
        <v>3.3</v>
      </c>
    </row>
    <row r="55" spans="2:14" ht="16.5" thickBot="1" x14ac:dyDescent="0.3">
      <c r="B55" s="5"/>
      <c r="C55" s="9"/>
      <c r="D55" s="9"/>
      <c r="E55" s="9"/>
      <c r="F55" s="9"/>
      <c r="G55" s="9"/>
      <c r="H55" s="79"/>
      <c r="I55" s="21"/>
      <c r="J55" s="21"/>
      <c r="K55" s="21"/>
      <c r="L55" s="21"/>
      <c r="M55" s="21"/>
      <c r="N55" s="6"/>
    </row>
    <row r="56" spans="2:14" ht="15.75" x14ac:dyDescent="0.25">
      <c r="B56" s="7" t="s">
        <v>7</v>
      </c>
      <c r="C56" s="1">
        <v>1</v>
      </c>
      <c r="D56" s="1">
        <v>2</v>
      </c>
      <c r="E56" s="1">
        <v>3</v>
      </c>
      <c r="F56" s="1">
        <v>4</v>
      </c>
      <c r="G56" s="1">
        <v>5</v>
      </c>
      <c r="H56" s="77">
        <v>6</v>
      </c>
      <c r="I56" s="160" t="s">
        <v>69</v>
      </c>
      <c r="J56" s="220"/>
      <c r="K56" s="220"/>
      <c r="L56" s="220"/>
      <c r="M56" s="220"/>
      <c r="N56" s="221"/>
    </row>
    <row r="57" spans="2:14" ht="16.5" thickBot="1" x14ac:dyDescent="0.3">
      <c r="B57" s="8" t="s">
        <v>10</v>
      </c>
      <c r="C57" s="14">
        <v>30</v>
      </c>
      <c r="D57" s="14">
        <v>28</v>
      </c>
      <c r="E57" s="14">
        <v>22</v>
      </c>
      <c r="F57" s="14">
        <v>27</v>
      </c>
      <c r="G57" s="14">
        <v>31</v>
      </c>
      <c r="H57" s="25">
        <v>34</v>
      </c>
      <c r="I57" s="222"/>
      <c r="J57" s="223"/>
      <c r="K57" s="223"/>
      <c r="L57" s="223"/>
      <c r="M57" s="223"/>
      <c r="N57" s="224"/>
    </row>
    <row r="58" spans="2:14" ht="16.5" thickBot="1" x14ac:dyDescent="0.3">
      <c r="B58" s="22" t="s">
        <v>12</v>
      </c>
      <c r="C58" s="73">
        <v>84</v>
      </c>
      <c r="D58" s="73">
        <v>53</v>
      </c>
      <c r="E58" s="73">
        <v>98</v>
      </c>
      <c r="F58" s="73">
        <v>78</v>
      </c>
      <c r="G58" s="73">
        <v>76</v>
      </c>
      <c r="H58" s="78">
        <v>72</v>
      </c>
      <c r="I58" s="225"/>
      <c r="J58" s="226"/>
      <c r="K58" s="226"/>
      <c r="L58" s="226"/>
      <c r="M58" s="226"/>
      <c r="N58" s="227"/>
    </row>
    <row r="59" spans="2:14" ht="15.75" thickBot="1" x14ac:dyDescent="0.3">
      <c r="H59" s="79"/>
      <c r="I59" s="79"/>
      <c r="J59" s="79"/>
      <c r="K59" s="79"/>
      <c r="L59" s="79"/>
      <c r="M59" s="79"/>
      <c r="N59" s="79"/>
    </row>
    <row r="60" spans="2:14" ht="15.75" x14ac:dyDescent="0.25">
      <c r="B60" s="2" t="s">
        <v>0</v>
      </c>
      <c r="C60" s="175" t="s">
        <v>59</v>
      </c>
      <c r="D60" s="176"/>
      <c r="E60" s="177" t="s">
        <v>1</v>
      </c>
      <c r="F60" s="178"/>
      <c r="G60" s="11">
        <v>100</v>
      </c>
      <c r="H60" s="179" t="s">
        <v>2</v>
      </c>
      <c r="I60" s="180"/>
      <c r="J60" s="181"/>
      <c r="K60" s="13">
        <v>100</v>
      </c>
      <c r="L60" s="3"/>
      <c r="M60" s="80" t="s">
        <v>11</v>
      </c>
      <c r="N60" s="76">
        <v>44044</v>
      </c>
    </row>
    <row r="61" spans="2:14" ht="15.75" x14ac:dyDescent="0.25">
      <c r="B61" s="4" t="s">
        <v>3</v>
      </c>
      <c r="C61" s="10">
        <v>1478</v>
      </c>
      <c r="D61" s="169" t="s">
        <v>57</v>
      </c>
      <c r="E61" s="170"/>
      <c r="F61" s="171"/>
      <c r="G61" s="18">
        <v>3423</v>
      </c>
      <c r="H61" s="172" t="s">
        <v>4</v>
      </c>
      <c r="I61" s="173"/>
      <c r="J61" s="174"/>
      <c r="K61" s="10">
        <v>45</v>
      </c>
      <c r="L61" s="15"/>
      <c r="M61" s="15"/>
      <c r="N61" s="16"/>
    </row>
    <row r="62" spans="2:14" ht="15.75" x14ac:dyDescent="0.25">
      <c r="B62" s="4" t="s">
        <v>5</v>
      </c>
      <c r="C62" s="19">
        <v>50</v>
      </c>
      <c r="D62" s="169" t="s">
        <v>8</v>
      </c>
      <c r="E62" s="170"/>
      <c r="F62" s="171"/>
      <c r="G62" s="17">
        <v>0.4</v>
      </c>
      <c r="H62" s="172" t="s">
        <v>9</v>
      </c>
      <c r="I62" s="173"/>
      <c r="J62" s="174"/>
      <c r="K62" s="12">
        <v>1.32</v>
      </c>
      <c r="L62" s="172" t="s">
        <v>6</v>
      </c>
      <c r="M62" s="174"/>
      <c r="N62" s="20">
        <v>3.3</v>
      </c>
    </row>
    <row r="63" spans="2:14" ht="16.5" thickBot="1" x14ac:dyDescent="0.3">
      <c r="B63" s="5"/>
      <c r="C63" s="9"/>
      <c r="D63" s="9"/>
      <c r="E63" s="9"/>
      <c r="F63" s="9"/>
      <c r="G63" s="9"/>
      <c r="H63" s="79"/>
      <c r="I63" s="21"/>
      <c r="J63" s="21"/>
      <c r="K63" s="21"/>
      <c r="L63" s="21"/>
      <c r="M63" s="21"/>
      <c r="N63" s="6"/>
    </row>
    <row r="64" spans="2:14" ht="15.75" x14ac:dyDescent="0.25">
      <c r="B64" s="7" t="s">
        <v>7</v>
      </c>
      <c r="C64" s="1">
        <v>1</v>
      </c>
      <c r="D64" s="1">
        <v>2</v>
      </c>
      <c r="E64" s="1">
        <v>3</v>
      </c>
      <c r="F64" s="1">
        <v>4</v>
      </c>
      <c r="G64" s="1">
        <v>5</v>
      </c>
      <c r="H64" s="77">
        <v>6</v>
      </c>
      <c r="I64" s="160" t="s">
        <v>70</v>
      </c>
      <c r="J64" s="220"/>
      <c r="K64" s="220"/>
      <c r="L64" s="220"/>
      <c r="M64" s="220"/>
      <c r="N64" s="221"/>
    </row>
    <row r="65" spans="2:14" ht="16.5" thickBot="1" x14ac:dyDescent="0.3">
      <c r="B65" s="8" t="s">
        <v>10</v>
      </c>
      <c r="C65" s="14">
        <v>28</v>
      </c>
      <c r="D65" s="14">
        <v>26</v>
      </c>
      <c r="E65" s="14">
        <v>27</v>
      </c>
      <c r="F65" s="14"/>
      <c r="G65" s="14"/>
      <c r="H65" s="25"/>
      <c r="I65" s="222"/>
      <c r="J65" s="223"/>
      <c r="K65" s="223"/>
      <c r="L65" s="223"/>
      <c r="M65" s="223"/>
      <c r="N65" s="224"/>
    </row>
    <row r="66" spans="2:14" ht="16.5" thickBot="1" x14ac:dyDescent="0.3">
      <c r="B66" s="22" t="s">
        <v>12</v>
      </c>
      <c r="C66" s="73">
        <v>112</v>
      </c>
      <c r="D66" s="73">
        <v>77</v>
      </c>
      <c r="E66" s="73">
        <v>140</v>
      </c>
      <c r="F66" s="73">
        <v>146</v>
      </c>
      <c r="G66" s="73">
        <v>153</v>
      </c>
      <c r="H66" s="78">
        <v>152</v>
      </c>
      <c r="I66" s="225"/>
      <c r="J66" s="226"/>
      <c r="K66" s="226"/>
      <c r="L66" s="226"/>
      <c r="M66" s="226"/>
      <c r="N66" s="227"/>
    </row>
    <row r="67" spans="2:14" ht="15.75" thickBot="1" x14ac:dyDescent="0.3">
      <c r="H67" s="79"/>
      <c r="I67" s="79"/>
      <c r="J67" s="79"/>
      <c r="K67" s="79"/>
      <c r="L67" s="79"/>
      <c r="M67" s="79"/>
      <c r="N67" s="79"/>
    </row>
    <row r="68" spans="2:14" ht="15.75" x14ac:dyDescent="0.25">
      <c r="B68" s="2" t="s">
        <v>0</v>
      </c>
      <c r="C68" s="175" t="s">
        <v>59</v>
      </c>
      <c r="D68" s="176"/>
      <c r="E68" s="177" t="s">
        <v>1</v>
      </c>
      <c r="F68" s="178"/>
      <c r="G68" s="11">
        <v>100</v>
      </c>
      <c r="H68" s="179" t="s">
        <v>2</v>
      </c>
      <c r="I68" s="180"/>
      <c r="J68" s="181"/>
      <c r="K68" s="13">
        <v>100</v>
      </c>
      <c r="L68" s="3"/>
      <c r="M68" s="80" t="s">
        <v>11</v>
      </c>
      <c r="N68" s="76">
        <v>44095</v>
      </c>
    </row>
    <row r="69" spans="2:14" ht="15.75" x14ac:dyDescent="0.25">
      <c r="B69" s="4" t="s">
        <v>3</v>
      </c>
      <c r="C69" s="10">
        <v>2495</v>
      </c>
      <c r="D69" s="169" t="s">
        <v>57</v>
      </c>
      <c r="E69" s="170"/>
      <c r="F69" s="171"/>
      <c r="G69" s="18">
        <v>6630.2</v>
      </c>
      <c r="H69" s="172" t="s">
        <v>4</v>
      </c>
      <c r="I69" s="173"/>
      <c r="J69" s="174"/>
      <c r="K69" s="10">
        <v>57</v>
      </c>
      <c r="L69" s="15"/>
      <c r="M69" s="15"/>
      <c r="N69" s="16"/>
    </row>
    <row r="70" spans="2:14" ht="15.75" x14ac:dyDescent="0.25">
      <c r="B70" s="4" t="s">
        <v>5</v>
      </c>
      <c r="C70" s="19">
        <v>62</v>
      </c>
      <c r="D70" s="169" t="s">
        <v>8</v>
      </c>
      <c r="E70" s="170"/>
      <c r="F70" s="171"/>
      <c r="G70" s="17">
        <v>0.32</v>
      </c>
      <c r="H70" s="172" t="s">
        <v>9</v>
      </c>
      <c r="I70" s="173"/>
      <c r="J70" s="174"/>
      <c r="K70" s="12">
        <v>1.1100000000000001</v>
      </c>
      <c r="L70" s="172" t="s">
        <v>6</v>
      </c>
      <c r="M70" s="174"/>
      <c r="N70" s="20">
        <v>3.46</v>
      </c>
    </row>
    <row r="71" spans="2:14" ht="16.5" thickBot="1" x14ac:dyDescent="0.3">
      <c r="B71" s="5"/>
      <c r="C71" s="9"/>
      <c r="D71" s="9"/>
      <c r="E71" s="9"/>
      <c r="F71" s="9"/>
      <c r="G71" s="9"/>
      <c r="H71" s="79"/>
      <c r="I71" s="21"/>
      <c r="J71" s="21"/>
      <c r="K71" s="21"/>
      <c r="L71" s="21"/>
      <c r="M71" s="21"/>
      <c r="N71" s="6"/>
    </row>
    <row r="72" spans="2:14" ht="15.75" x14ac:dyDescent="0.25">
      <c r="B72" s="7" t="s">
        <v>7</v>
      </c>
      <c r="C72" s="1">
        <v>1</v>
      </c>
      <c r="D72" s="1">
        <v>2</v>
      </c>
      <c r="E72" s="1">
        <v>3</v>
      </c>
      <c r="F72" s="1">
        <v>4</v>
      </c>
      <c r="G72" s="1">
        <v>5</v>
      </c>
      <c r="H72" s="77">
        <v>6</v>
      </c>
      <c r="I72" s="160" t="s">
        <v>71</v>
      </c>
      <c r="J72" s="220"/>
      <c r="K72" s="220"/>
      <c r="L72" s="220"/>
      <c r="M72" s="220"/>
      <c r="N72" s="221"/>
    </row>
    <row r="73" spans="2:14" ht="16.5" thickBot="1" x14ac:dyDescent="0.3">
      <c r="B73" s="8" t="s">
        <v>10</v>
      </c>
      <c r="C73" s="14">
        <v>21</v>
      </c>
      <c r="D73" s="14">
        <v>28</v>
      </c>
      <c r="E73" s="14">
        <v>33</v>
      </c>
      <c r="F73" s="14">
        <v>31</v>
      </c>
      <c r="G73" s="14">
        <v>29</v>
      </c>
      <c r="H73" s="25">
        <v>31</v>
      </c>
      <c r="I73" s="222"/>
      <c r="J73" s="223"/>
      <c r="K73" s="223"/>
      <c r="L73" s="223"/>
      <c r="M73" s="223"/>
      <c r="N73" s="224"/>
    </row>
    <row r="74" spans="2:14" ht="16.5" thickBot="1" x14ac:dyDescent="0.3">
      <c r="B74" s="22" t="s">
        <v>12</v>
      </c>
      <c r="C74" s="73">
        <v>85</v>
      </c>
      <c r="D74" s="73">
        <v>88</v>
      </c>
      <c r="E74" s="73">
        <v>109</v>
      </c>
      <c r="F74" s="73">
        <v>115</v>
      </c>
      <c r="G74" s="73">
        <v>117</v>
      </c>
      <c r="H74" s="78">
        <v>104</v>
      </c>
      <c r="I74" s="225"/>
      <c r="J74" s="226"/>
      <c r="K74" s="226"/>
      <c r="L74" s="226"/>
      <c r="M74" s="226"/>
      <c r="N74" s="227"/>
    </row>
    <row r="75" spans="2:14" ht="15.75" thickBot="1" x14ac:dyDescent="0.3">
      <c r="H75" s="79"/>
      <c r="I75" s="79"/>
      <c r="J75" s="79"/>
      <c r="K75" s="79"/>
      <c r="L75" s="79"/>
      <c r="M75" s="79"/>
      <c r="N75" s="79"/>
    </row>
    <row r="76" spans="2:14" ht="15.75" x14ac:dyDescent="0.25">
      <c r="B76" s="2" t="s">
        <v>0</v>
      </c>
      <c r="C76" s="175" t="s">
        <v>59</v>
      </c>
      <c r="D76" s="176"/>
      <c r="E76" s="177" t="s">
        <v>1</v>
      </c>
      <c r="F76" s="178"/>
      <c r="G76" s="11">
        <v>100</v>
      </c>
      <c r="H76" s="179" t="s">
        <v>2</v>
      </c>
      <c r="I76" s="180"/>
      <c r="J76" s="181"/>
      <c r="K76" s="13">
        <v>100</v>
      </c>
      <c r="L76" s="3"/>
      <c r="M76" s="80" t="s">
        <v>11</v>
      </c>
      <c r="N76" s="76">
        <v>44106</v>
      </c>
    </row>
    <row r="77" spans="2:14" ht="15.75" x14ac:dyDescent="0.25">
      <c r="B77" s="4" t="s">
        <v>3</v>
      </c>
      <c r="C77" s="10">
        <v>2738</v>
      </c>
      <c r="D77" s="169" t="s">
        <v>57</v>
      </c>
      <c r="E77" s="170"/>
      <c r="F77" s="171"/>
      <c r="G77" s="18">
        <v>5062</v>
      </c>
      <c r="H77" s="172" t="s">
        <v>4</v>
      </c>
      <c r="I77" s="173"/>
      <c r="J77" s="174"/>
      <c r="K77" s="10">
        <v>52</v>
      </c>
      <c r="L77" s="15"/>
      <c r="M77" s="15"/>
      <c r="N77" s="16"/>
    </row>
    <row r="78" spans="2:14" ht="15.75" x14ac:dyDescent="0.25">
      <c r="B78" s="4" t="s">
        <v>5</v>
      </c>
      <c r="C78" s="19">
        <v>54</v>
      </c>
      <c r="D78" s="169" t="s">
        <v>8</v>
      </c>
      <c r="E78" s="170"/>
      <c r="F78" s="171"/>
      <c r="G78" s="17">
        <v>0.32</v>
      </c>
      <c r="H78" s="172" t="s">
        <v>9</v>
      </c>
      <c r="I78" s="173"/>
      <c r="J78" s="174"/>
      <c r="K78" s="12">
        <v>1.1100000000000001</v>
      </c>
      <c r="L78" s="172" t="s">
        <v>6</v>
      </c>
      <c r="M78" s="174"/>
      <c r="N78" s="20">
        <v>3.46</v>
      </c>
    </row>
    <row r="79" spans="2:14" ht="16.5" thickBot="1" x14ac:dyDescent="0.3">
      <c r="B79" s="5"/>
      <c r="C79" s="9"/>
      <c r="D79" s="9"/>
      <c r="E79" s="9"/>
      <c r="F79" s="9"/>
      <c r="G79" s="9"/>
      <c r="H79" s="79"/>
      <c r="I79" s="21"/>
      <c r="J79" s="21"/>
      <c r="K79" s="21"/>
      <c r="L79" s="21"/>
      <c r="M79" s="21"/>
      <c r="N79" s="6"/>
    </row>
    <row r="80" spans="2:14" ht="15.75" x14ac:dyDescent="0.25">
      <c r="B80" s="7" t="s">
        <v>7</v>
      </c>
      <c r="C80" s="1">
        <v>1</v>
      </c>
      <c r="D80" s="1">
        <v>2</v>
      </c>
      <c r="E80" s="1">
        <v>3</v>
      </c>
      <c r="F80" s="1">
        <v>4</v>
      </c>
      <c r="G80" s="1">
        <v>5</v>
      </c>
      <c r="H80" s="77">
        <v>6</v>
      </c>
      <c r="I80" s="160" t="s">
        <v>72</v>
      </c>
      <c r="J80" s="220"/>
      <c r="K80" s="220"/>
      <c r="L80" s="220"/>
      <c r="M80" s="220"/>
      <c r="N80" s="221"/>
    </row>
    <row r="81" spans="1:14" ht="16.5" thickBot="1" x14ac:dyDescent="0.3">
      <c r="B81" s="8" t="s">
        <v>10</v>
      </c>
      <c r="C81" s="14">
        <v>21</v>
      </c>
      <c r="D81" s="14">
        <v>24</v>
      </c>
      <c r="E81" s="14">
        <v>23</v>
      </c>
      <c r="F81" s="14">
        <v>24</v>
      </c>
      <c r="G81" s="14">
        <v>23</v>
      </c>
      <c r="H81" s="25">
        <v>23</v>
      </c>
      <c r="I81" s="222"/>
      <c r="J81" s="223"/>
      <c r="K81" s="223"/>
      <c r="L81" s="223"/>
      <c r="M81" s="223"/>
      <c r="N81" s="224"/>
    </row>
    <row r="82" spans="1:14" ht="16.5" thickBot="1" x14ac:dyDescent="0.3">
      <c r="B82" s="22" t="s">
        <v>12</v>
      </c>
      <c r="C82" s="73">
        <v>79</v>
      </c>
      <c r="D82" s="73">
        <v>146</v>
      </c>
      <c r="E82" s="73">
        <v>92</v>
      </c>
      <c r="F82" s="73">
        <v>102</v>
      </c>
      <c r="G82" s="73">
        <v>98</v>
      </c>
      <c r="H82" s="78">
        <v>125</v>
      </c>
      <c r="I82" s="225"/>
      <c r="J82" s="226"/>
      <c r="K82" s="226"/>
      <c r="L82" s="226"/>
      <c r="M82" s="226"/>
      <c r="N82" s="227"/>
    </row>
    <row r="83" spans="1:14" ht="15.75" thickBot="1" x14ac:dyDescent="0.3">
      <c r="H83" s="79"/>
      <c r="I83" s="79"/>
      <c r="J83" s="79"/>
      <c r="K83" s="79"/>
      <c r="L83" s="79"/>
      <c r="M83" s="79"/>
      <c r="N83" s="79"/>
    </row>
    <row r="84" spans="1:14" ht="15.75" x14ac:dyDescent="0.25">
      <c r="A84" s="83"/>
      <c r="B84" s="2" t="s">
        <v>0</v>
      </c>
      <c r="C84" s="175" t="s">
        <v>59</v>
      </c>
      <c r="D84" s="176"/>
      <c r="E84" s="177" t="s">
        <v>1</v>
      </c>
      <c r="F84" s="178"/>
      <c r="G84" s="11">
        <v>100</v>
      </c>
      <c r="H84" s="179" t="s">
        <v>2</v>
      </c>
      <c r="I84" s="180"/>
      <c r="J84" s="181"/>
      <c r="K84" s="13">
        <v>100</v>
      </c>
      <c r="L84" s="3"/>
      <c r="M84" s="80" t="s">
        <v>11</v>
      </c>
      <c r="N84" s="76">
        <v>44109</v>
      </c>
    </row>
    <row r="85" spans="1:14" ht="15.75" x14ac:dyDescent="0.25">
      <c r="B85" s="4" t="s">
        <v>3</v>
      </c>
      <c r="C85" s="10">
        <v>2860</v>
      </c>
      <c r="D85" s="169" t="s">
        <v>57</v>
      </c>
      <c r="E85" s="170"/>
      <c r="F85" s="171"/>
      <c r="G85" s="18">
        <v>3964.6</v>
      </c>
      <c r="H85" s="172" t="s">
        <v>4</v>
      </c>
      <c r="I85" s="173"/>
      <c r="J85" s="174"/>
      <c r="K85" s="10">
        <v>51</v>
      </c>
      <c r="L85" s="15"/>
      <c r="M85" s="15"/>
      <c r="N85" s="16"/>
    </row>
    <row r="86" spans="1:14" ht="15.75" x14ac:dyDescent="0.25">
      <c r="B86" s="4" t="s">
        <v>5</v>
      </c>
      <c r="C86" s="19">
        <v>52</v>
      </c>
      <c r="D86" s="169" t="s">
        <v>8</v>
      </c>
      <c r="E86" s="170"/>
      <c r="F86" s="171"/>
      <c r="G86" s="17">
        <v>0.32</v>
      </c>
      <c r="H86" s="172" t="s">
        <v>9</v>
      </c>
      <c r="I86" s="173"/>
      <c r="J86" s="174"/>
      <c r="K86" s="12">
        <v>1.1100000000000001</v>
      </c>
      <c r="L86" s="172" t="s">
        <v>6</v>
      </c>
      <c r="M86" s="174"/>
      <c r="N86" s="20">
        <v>3.46</v>
      </c>
    </row>
    <row r="87" spans="1:14" ht="16.5" thickBot="1" x14ac:dyDescent="0.3">
      <c r="B87" s="5"/>
      <c r="C87" s="9"/>
      <c r="D87" s="9"/>
      <c r="E87" s="9"/>
      <c r="F87" s="9"/>
      <c r="G87" s="9"/>
      <c r="H87" s="79"/>
      <c r="I87" s="21"/>
      <c r="J87" s="21"/>
      <c r="K87" s="21"/>
      <c r="L87" s="21"/>
      <c r="M87" s="21"/>
      <c r="N87" s="6"/>
    </row>
    <row r="88" spans="1:14" ht="15.75" x14ac:dyDescent="0.25">
      <c r="B88" s="7" t="s">
        <v>7</v>
      </c>
      <c r="C88" s="1">
        <v>1</v>
      </c>
      <c r="D88" s="1">
        <v>2</v>
      </c>
      <c r="E88" s="1">
        <v>3</v>
      </c>
      <c r="F88" s="1">
        <v>4</v>
      </c>
      <c r="G88" s="1">
        <v>5</v>
      </c>
      <c r="H88" s="77">
        <v>6</v>
      </c>
      <c r="I88" s="160" t="s">
        <v>73</v>
      </c>
      <c r="J88" s="220"/>
      <c r="K88" s="220"/>
      <c r="L88" s="220"/>
      <c r="M88" s="220"/>
      <c r="N88" s="221"/>
    </row>
    <row r="89" spans="1:14" ht="16.5" thickBot="1" x14ac:dyDescent="0.3">
      <c r="B89" s="8" t="s">
        <v>10</v>
      </c>
      <c r="C89" s="14">
        <v>24</v>
      </c>
      <c r="D89" s="14">
        <v>22</v>
      </c>
      <c r="E89" s="14">
        <v>28</v>
      </c>
      <c r="F89" s="14">
        <v>24</v>
      </c>
      <c r="G89" s="14">
        <v>27</v>
      </c>
      <c r="H89" s="25">
        <v>23</v>
      </c>
      <c r="I89" s="222"/>
      <c r="J89" s="223"/>
      <c r="K89" s="223"/>
      <c r="L89" s="223"/>
      <c r="M89" s="223"/>
      <c r="N89" s="224"/>
    </row>
    <row r="90" spans="1:14" ht="16.5" thickBot="1" x14ac:dyDescent="0.3">
      <c r="B90" s="22" t="s">
        <v>12</v>
      </c>
      <c r="C90" s="73">
        <v>103</v>
      </c>
      <c r="D90" s="73">
        <v>85</v>
      </c>
      <c r="E90" s="73">
        <v>120</v>
      </c>
      <c r="F90" s="73">
        <v>102</v>
      </c>
      <c r="G90" s="73">
        <v>128</v>
      </c>
      <c r="H90" s="78">
        <v>126</v>
      </c>
      <c r="I90" s="225"/>
      <c r="J90" s="226"/>
      <c r="K90" s="226"/>
      <c r="L90" s="226"/>
      <c r="M90" s="226"/>
      <c r="N90" s="227"/>
    </row>
    <row r="91" spans="1:14" ht="15.75" thickBot="1" x14ac:dyDescent="0.3">
      <c r="H91" s="79"/>
      <c r="I91" s="79"/>
      <c r="J91" s="79"/>
      <c r="K91" s="79"/>
      <c r="L91" s="79"/>
      <c r="M91" s="79"/>
      <c r="N91" s="79"/>
    </row>
    <row r="92" spans="1:14" ht="15.75" x14ac:dyDescent="0.25">
      <c r="B92" s="2" t="s">
        <v>0</v>
      </c>
      <c r="C92" s="175" t="s">
        <v>59</v>
      </c>
      <c r="D92" s="176"/>
      <c r="E92" s="177" t="s">
        <v>1</v>
      </c>
      <c r="F92" s="178"/>
      <c r="G92" s="11">
        <v>100</v>
      </c>
      <c r="H92" s="179" t="s">
        <v>2</v>
      </c>
      <c r="I92" s="180"/>
      <c r="J92" s="181"/>
      <c r="K92" s="13">
        <v>100</v>
      </c>
      <c r="L92" s="3"/>
      <c r="M92" s="80" t="s">
        <v>11</v>
      </c>
      <c r="N92" s="76">
        <v>44120</v>
      </c>
    </row>
    <row r="93" spans="1:14" ht="15.75" x14ac:dyDescent="0.25">
      <c r="B93" s="4" t="s">
        <v>3</v>
      </c>
      <c r="C93" s="10">
        <v>3060</v>
      </c>
      <c r="D93" s="169" t="s">
        <v>57</v>
      </c>
      <c r="E93" s="170"/>
      <c r="F93" s="171"/>
      <c r="G93" s="18">
        <v>6908</v>
      </c>
      <c r="H93" s="172" t="s">
        <v>4</v>
      </c>
      <c r="I93" s="173"/>
      <c r="J93" s="174"/>
      <c r="K93" s="10">
        <v>56</v>
      </c>
      <c r="L93" s="15"/>
      <c r="M93" s="15"/>
      <c r="N93" s="16"/>
    </row>
    <row r="94" spans="1:14" ht="15.75" x14ac:dyDescent="0.25">
      <c r="B94" s="4" t="s">
        <v>5</v>
      </c>
      <c r="C94" s="19">
        <v>58</v>
      </c>
      <c r="D94" s="169" t="s">
        <v>8</v>
      </c>
      <c r="E94" s="170"/>
      <c r="F94" s="171"/>
      <c r="G94" s="17">
        <v>0.32</v>
      </c>
      <c r="H94" s="172" t="s">
        <v>9</v>
      </c>
      <c r="I94" s="173"/>
      <c r="J94" s="174"/>
      <c r="K94" s="12">
        <v>1.1100000000000001</v>
      </c>
      <c r="L94" s="172" t="s">
        <v>6</v>
      </c>
      <c r="M94" s="174"/>
      <c r="N94" s="20">
        <v>3.46</v>
      </c>
    </row>
    <row r="95" spans="1:14" ht="16.5" thickBot="1" x14ac:dyDescent="0.3">
      <c r="B95" s="5"/>
      <c r="C95" s="9"/>
      <c r="D95" s="9"/>
      <c r="E95" s="9"/>
      <c r="F95" s="9"/>
      <c r="G95" s="9"/>
      <c r="H95" s="79"/>
      <c r="I95" s="21"/>
      <c r="J95" s="21"/>
      <c r="K95" s="21"/>
      <c r="L95" s="21"/>
      <c r="M95" s="21"/>
      <c r="N95" s="6"/>
    </row>
    <row r="96" spans="1:14" ht="15.75" x14ac:dyDescent="0.25">
      <c r="B96" s="7" t="s">
        <v>7</v>
      </c>
      <c r="C96" s="1">
        <v>1</v>
      </c>
      <c r="D96" s="1">
        <v>2</v>
      </c>
      <c r="E96" s="1">
        <v>3</v>
      </c>
      <c r="F96" s="1">
        <v>4</v>
      </c>
      <c r="G96" s="1">
        <v>5</v>
      </c>
      <c r="H96" s="77">
        <v>6</v>
      </c>
      <c r="I96" s="160" t="s">
        <v>74</v>
      </c>
      <c r="J96" s="220"/>
      <c r="K96" s="220"/>
      <c r="L96" s="220"/>
      <c r="M96" s="220"/>
      <c r="N96" s="221"/>
    </row>
    <row r="97" spans="2:14" ht="16.5" thickBot="1" x14ac:dyDescent="0.3">
      <c r="B97" s="8" t="s">
        <v>10</v>
      </c>
      <c r="C97" s="14">
        <v>19</v>
      </c>
      <c r="D97" s="14">
        <v>19</v>
      </c>
      <c r="E97" s="14">
        <v>21</v>
      </c>
      <c r="F97" s="14">
        <v>27</v>
      </c>
      <c r="G97" s="14">
        <v>24</v>
      </c>
      <c r="H97" s="25">
        <v>27</v>
      </c>
      <c r="I97" s="222"/>
      <c r="J97" s="223"/>
      <c r="K97" s="223"/>
      <c r="L97" s="223"/>
      <c r="M97" s="223"/>
      <c r="N97" s="224"/>
    </row>
    <row r="98" spans="2:14" ht="16.5" thickBot="1" x14ac:dyDescent="0.3">
      <c r="B98" s="22" t="s">
        <v>12</v>
      </c>
      <c r="C98" s="73">
        <v>99</v>
      </c>
      <c r="D98" s="73">
        <v>84</v>
      </c>
      <c r="E98" s="73">
        <v>95</v>
      </c>
      <c r="F98" s="73">
        <v>110</v>
      </c>
      <c r="G98" s="73">
        <v>113</v>
      </c>
      <c r="H98" s="78">
        <v>90</v>
      </c>
      <c r="I98" s="225"/>
      <c r="J98" s="226"/>
      <c r="K98" s="226"/>
      <c r="L98" s="226"/>
      <c r="M98" s="226"/>
      <c r="N98" s="227"/>
    </row>
    <row r="99" spans="2:14" ht="15.75" thickBot="1" x14ac:dyDescent="0.3">
      <c r="H99" s="79"/>
      <c r="I99" s="79"/>
      <c r="J99" s="79"/>
      <c r="K99" s="79"/>
      <c r="L99" s="79"/>
      <c r="M99" s="79"/>
      <c r="N99" s="79"/>
    </row>
    <row r="100" spans="2:14" ht="15.75" x14ac:dyDescent="0.25">
      <c r="B100" s="2" t="s">
        <v>0</v>
      </c>
      <c r="C100" s="175" t="s">
        <v>59</v>
      </c>
      <c r="D100" s="176"/>
      <c r="E100" s="177" t="s">
        <v>1</v>
      </c>
      <c r="F100" s="178"/>
      <c r="G100" s="11">
        <v>100</v>
      </c>
      <c r="H100" s="179" t="s">
        <v>2</v>
      </c>
      <c r="I100" s="180"/>
      <c r="J100" s="181"/>
      <c r="K100" s="13">
        <v>100</v>
      </c>
      <c r="L100" s="3"/>
      <c r="M100" s="80" t="s">
        <v>11</v>
      </c>
      <c r="N100" s="76">
        <v>44125</v>
      </c>
    </row>
    <row r="101" spans="2:14" ht="15.75" x14ac:dyDescent="0.25">
      <c r="B101" s="4" t="s">
        <v>3</v>
      </c>
      <c r="C101" s="10">
        <v>3182</v>
      </c>
      <c r="D101" s="169" t="s">
        <v>57</v>
      </c>
      <c r="E101" s="170"/>
      <c r="F101" s="171"/>
      <c r="G101" s="18">
        <v>5522</v>
      </c>
      <c r="H101" s="172" t="s">
        <v>4</v>
      </c>
      <c r="I101" s="173"/>
      <c r="J101" s="174"/>
      <c r="K101" s="10">
        <v>54.7</v>
      </c>
      <c r="L101" s="15"/>
      <c r="M101" s="15"/>
      <c r="N101" s="16"/>
    </row>
    <row r="102" spans="2:14" ht="15.75" x14ac:dyDescent="0.25">
      <c r="B102" s="4" t="s">
        <v>5</v>
      </c>
      <c r="C102" s="19">
        <v>56</v>
      </c>
      <c r="D102" s="169" t="s">
        <v>8</v>
      </c>
      <c r="E102" s="170"/>
      <c r="F102" s="171"/>
      <c r="G102" s="17">
        <v>0.32</v>
      </c>
      <c r="H102" s="172" t="s">
        <v>9</v>
      </c>
      <c r="I102" s="173"/>
      <c r="J102" s="174"/>
      <c r="K102" s="12">
        <v>1.1100000000000001</v>
      </c>
      <c r="L102" s="172" t="s">
        <v>6</v>
      </c>
      <c r="M102" s="174"/>
      <c r="N102" s="20">
        <v>3.46</v>
      </c>
    </row>
    <row r="103" spans="2:14" ht="16.5" thickBot="1" x14ac:dyDescent="0.3">
      <c r="B103" s="5"/>
      <c r="C103" s="9"/>
      <c r="D103" s="9"/>
      <c r="E103" s="9"/>
      <c r="F103" s="9"/>
      <c r="G103" s="9"/>
      <c r="H103" s="79"/>
      <c r="I103" s="21"/>
      <c r="J103" s="21"/>
      <c r="K103" s="21"/>
      <c r="L103" s="21"/>
      <c r="M103" s="21"/>
      <c r="N103" s="6"/>
    </row>
    <row r="104" spans="2:14" ht="15.75" x14ac:dyDescent="0.25">
      <c r="B104" s="7" t="s">
        <v>7</v>
      </c>
      <c r="C104" s="1">
        <v>1</v>
      </c>
      <c r="D104" s="1">
        <v>2</v>
      </c>
      <c r="E104" s="1">
        <v>3</v>
      </c>
      <c r="F104" s="1">
        <v>4</v>
      </c>
      <c r="G104" s="1">
        <v>5</v>
      </c>
      <c r="H104" s="77">
        <v>6</v>
      </c>
      <c r="I104" s="160" t="s">
        <v>75</v>
      </c>
      <c r="J104" s="220"/>
      <c r="K104" s="220"/>
      <c r="L104" s="220"/>
      <c r="M104" s="220"/>
      <c r="N104" s="221"/>
    </row>
    <row r="105" spans="2:14" ht="16.5" thickBot="1" x14ac:dyDescent="0.3">
      <c r="B105" s="8" t="s">
        <v>10</v>
      </c>
      <c r="C105" s="14">
        <v>29</v>
      </c>
      <c r="D105" s="14">
        <v>24</v>
      </c>
      <c r="E105" s="14">
        <v>25</v>
      </c>
      <c r="F105" s="14">
        <v>25</v>
      </c>
      <c r="G105" s="14">
        <v>27</v>
      </c>
      <c r="H105" s="25">
        <v>25</v>
      </c>
      <c r="I105" s="222"/>
      <c r="J105" s="223"/>
      <c r="K105" s="223"/>
      <c r="L105" s="223"/>
      <c r="M105" s="223"/>
      <c r="N105" s="224"/>
    </row>
    <row r="106" spans="2:14" ht="16.5" thickBot="1" x14ac:dyDescent="0.3">
      <c r="B106" s="22" t="s">
        <v>12</v>
      </c>
      <c r="C106" s="73">
        <v>98</v>
      </c>
      <c r="D106" s="73">
        <v>93</v>
      </c>
      <c r="E106" s="73">
        <v>105</v>
      </c>
      <c r="F106" s="73">
        <v>106</v>
      </c>
      <c r="G106" s="73">
        <v>85</v>
      </c>
      <c r="H106" s="78">
        <v>96</v>
      </c>
      <c r="I106" s="225"/>
      <c r="J106" s="226"/>
      <c r="K106" s="226"/>
      <c r="L106" s="226"/>
      <c r="M106" s="226"/>
      <c r="N106" s="227"/>
    </row>
    <row r="107" spans="2:14" ht="15.75" thickBot="1" x14ac:dyDescent="0.3">
      <c r="H107" s="79"/>
      <c r="I107" s="79"/>
      <c r="J107" s="79"/>
      <c r="K107" s="79"/>
      <c r="L107" s="79"/>
      <c r="M107" s="79"/>
      <c r="N107" s="79"/>
    </row>
    <row r="108" spans="2:14" ht="15.75" x14ac:dyDescent="0.25">
      <c r="B108" s="2" t="s">
        <v>0</v>
      </c>
      <c r="C108" s="175" t="s">
        <v>59</v>
      </c>
      <c r="D108" s="176"/>
      <c r="E108" s="177" t="s">
        <v>1</v>
      </c>
      <c r="F108" s="178"/>
      <c r="G108" s="11">
        <v>100</v>
      </c>
      <c r="H108" s="179" t="s">
        <v>2</v>
      </c>
      <c r="I108" s="180"/>
      <c r="J108" s="181"/>
      <c r="K108" s="13">
        <v>100</v>
      </c>
      <c r="L108" s="3"/>
      <c r="M108" s="80" t="s">
        <v>11</v>
      </c>
      <c r="N108" s="76">
        <v>44125</v>
      </c>
    </row>
    <row r="109" spans="2:14" ht="15.75" x14ac:dyDescent="0.25">
      <c r="B109" s="4" t="s">
        <v>3</v>
      </c>
      <c r="C109" s="10">
        <v>3303</v>
      </c>
      <c r="D109" s="169" t="s">
        <v>57</v>
      </c>
      <c r="E109" s="170"/>
      <c r="F109" s="171"/>
      <c r="G109" s="18">
        <v>6977</v>
      </c>
      <c r="H109" s="172" t="s">
        <v>4</v>
      </c>
      <c r="I109" s="173"/>
      <c r="J109" s="174"/>
      <c r="K109" s="10">
        <v>58</v>
      </c>
      <c r="L109" s="15"/>
      <c r="M109" s="15"/>
      <c r="N109" s="16"/>
    </row>
    <row r="110" spans="2:14" ht="15.75" x14ac:dyDescent="0.25">
      <c r="B110" s="4" t="s">
        <v>5</v>
      </c>
      <c r="C110" s="19">
        <v>65</v>
      </c>
      <c r="D110" s="169" t="s">
        <v>8</v>
      </c>
      <c r="E110" s="170"/>
      <c r="F110" s="171"/>
      <c r="G110" s="17">
        <v>0.32</v>
      </c>
      <c r="H110" s="172" t="s">
        <v>9</v>
      </c>
      <c r="I110" s="173"/>
      <c r="J110" s="174"/>
      <c r="K110" s="12">
        <v>1.08</v>
      </c>
      <c r="L110" s="172" t="s">
        <v>6</v>
      </c>
      <c r="M110" s="174"/>
      <c r="N110" s="20">
        <v>3.38</v>
      </c>
    </row>
    <row r="111" spans="2:14" ht="16.5" thickBot="1" x14ac:dyDescent="0.3">
      <c r="B111" s="5"/>
      <c r="C111" s="9"/>
      <c r="D111" s="9"/>
      <c r="E111" s="9"/>
      <c r="F111" s="9"/>
      <c r="G111" s="9"/>
      <c r="H111" s="79"/>
      <c r="I111" s="21"/>
      <c r="J111" s="21"/>
      <c r="K111" s="21"/>
      <c r="L111" s="21"/>
      <c r="M111" s="21"/>
      <c r="N111" s="6"/>
    </row>
    <row r="112" spans="2:14" ht="15.75" x14ac:dyDescent="0.25">
      <c r="B112" s="7" t="s">
        <v>7</v>
      </c>
      <c r="C112" s="1">
        <v>1</v>
      </c>
      <c r="D112" s="1">
        <v>2</v>
      </c>
      <c r="E112" s="1">
        <v>3</v>
      </c>
      <c r="F112" s="1">
        <v>4</v>
      </c>
      <c r="G112" s="1">
        <v>5</v>
      </c>
      <c r="H112" s="77">
        <v>6</v>
      </c>
      <c r="I112" s="160" t="s">
        <v>76</v>
      </c>
      <c r="J112" s="220"/>
      <c r="K112" s="220"/>
      <c r="L112" s="220"/>
      <c r="M112" s="220"/>
      <c r="N112" s="221"/>
    </row>
    <row r="113" spans="2:14" ht="16.5" thickBot="1" x14ac:dyDescent="0.3">
      <c r="B113" s="8" t="s">
        <v>10</v>
      </c>
      <c r="C113" s="14">
        <v>25</v>
      </c>
      <c r="D113" s="14">
        <v>25</v>
      </c>
      <c r="E113" s="14">
        <v>29</v>
      </c>
      <c r="F113" s="14">
        <v>31</v>
      </c>
      <c r="G113" s="14">
        <v>27</v>
      </c>
      <c r="H113" s="25">
        <v>32</v>
      </c>
      <c r="I113" s="222"/>
      <c r="J113" s="223"/>
      <c r="K113" s="223"/>
      <c r="L113" s="223"/>
      <c r="M113" s="223"/>
      <c r="N113" s="224"/>
    </row>
    <row r="114" spans="2:14" ht="16.5" thickBot="1" x14ac:dyDescent="0.3">
      <c r="B114" s="22" t="s">
        <v>12</v>
      </c>
      <c r="C114" s="73">
        <v>104</v>
      </c>
      <c r="D114" s="73">
        <v>94</v>
      </c>
      <c r="E114" s="73">
        <v>122</v>
      </c>
      <c r="F114" s="73">
        <v>97</v>
      </c>
      <c r="G114" s="73">
        <v>108</v>
      </c>
      <c r="H114" s="78">
        <v>138</v>
      </c>
      <c r="I114" s="225"/>
      <c r="J114" s="226"/>
      <c r="K114" s="226"/>
      <c r="L114" s="226"/>
      <c r="M114" s="226"/>
      <c r="N114" s="227"/>
    </row>
    <row r="115" spans="2:14" ht="15.75" thickBot="1" x14ac:dyDescent="0.3"/>
    <row r="116" spans="2:14" ht="15.75" x14ac:dyDescent="0.25">
      <c r="B116" s="2" t="s">
        <v>0</v>
      </c>
      <c r="C116" s="175" t="s">
        <v>59</v>
      </c>
      <c r="D116" s="176"/>
      <c r="E116" s="177" t="s">
        <v>1</v>
      </c>
      <c r="F116" s="178"/>
      <c r="G116" s="11">
        <v>100</v>
      </c>
      <c r="H116" s="179" t="s">
        <v>2</v>
      </c>
      <c r="I116" s="180"/>
      <c r="J116" s="181"/>
      <c r="K116" s="13">
        <v>100</v>
      </c>
      <c r="L116" s="3"/>
      <c r="M116" s="80" t="s">
        <v>11</v>
      </c>
      <c r="N116" s="76">
        <v>44137</v>
      </c>
    </row>
    <row r="117" spans="2:14" ht="15.75" x14ac:dyDescent="0.25">
      <c r="B117" s="4" t="s">
        <v>3</v>
      </c>
      <c r="C117" s="10">
        <v>3472</v>
      </c>
      <c r="D117" s="169" t="s">
        <v>57</v>
      </c>
      <c r="E117" s="170"/>
      <c r="F117" s="171"/>
      <c r="G117" s="18">
        <v>7791</v>
      </c>
      <c r="H117" s="172" t="s">
        <v>4</v>
      </c>
      <c r="I117" s="173"/>
      <c r="J117" s="174"/>
      <c r="K117" s="10">
        <v>57</v>
      </c>
      <c r="L117" s="15"/>
      <c r="M117" s="15"/>
      <c r="N117" s="16"/>
    </row>
    <row r="118" spans="2:14" ht="15.75" x14ac:dyDescent="0.25">
      <c r="B118" s="4" t="s">
        <v>5</v>
      </c>
      <c r="C118" s="19">
        <v>64</v>
      </c>
      <c r="D118" s="169" t="s">
        <v>8</v>
      </c>
      <c r="E118" s="170"/>
      <c r="F118" s="171"/>
      <c r="G118" s="17">
        <v>0.32</v>
      </c>
      <c r="H118" s="172" t="s">
        <v>9</v>
      </c>
      <c r="I118" s="173"/>
      <c r="J118" s="174"/>
      <c r="K118" s="12">
        <v>1.08</v>
      </c>
      <c r="L118" s="172" t="s">
        <v>6</v>
      </c>
      <c r="M118" s="174"/>
      <c r="N118" s="20">
        <v>3.38</v>
      </c>
    </row>
    <row r="119" spans="2:14" ht="16.5" thickBot="1" x14ac:dyDescent="0.3">
      <c r="B119" s="5"/>
      <c r="C119" s="9"/>
      <c r="D119" s="9"/>
      <c r="E119" s="9"/>
      <c r="F119" s="9"/>
      <c r="G119" s="9"/>
      <c r="H119" s="79"/>
      <c r="I119" s="21"/>
      <c r="J119" s="21"/>
      <c r="K119" s="21"/>
      <c r="L119" s="21"/>
      <c r="M119" s="21"/>
      <c r="N119" s="6"/>
    </row>
    <row r="120" spans="2:14" ht="15.75" x14ac:dyDescent="0.25">
      <c r="B120" s="7" t="s">
        <v>7</v>
      </c>
      <c r="C120" s="1">
        <v>1</v>
      </c>
      <c r="D120" s="1">
        <v>2</v>
      </c>
      <c r="E120" s="1">
        <v>3</v>
      </c>
      <c r="F120" s="1">
        <v>4</v>
      </c>
      <c r="G120" s="1">
        <v>5</v>
      </c>
      <c r="H120" s="77">
        <v>6</v>
      </c>
      <c r="I120" s="160" t="s">
        <v>77</v>
      </c>
      <c r="J120" s="220"/>
      <c r="K120" s="220"/>
      <c r="L120" s="220"/>
      <c r="M120" s="220"/>
      <c r="N120" s="221"/>
    </row>
    <row r="121" spans="2:14" ht="16.5" thickBot="1" x14ac:dyDescent="0.3">
      <c r="B121" s="8" t="s">
        <v>10</v>
      </c>
      <c r="C121" s="14">
        <v>29</v>
      </c>
      <c r="D121" s="14">
        <v>25</v>
      </c>
      <c r="E121" s="14">
        <v>29</v>
      </c>
      <c r="F121" s="14">
        <v>27</v>
      </c>
      <c r="G121" s="14">
        <v>31</v>
      </c>
      <c r="H121" s="25">
        <v>34</v>
      </c>
      <c r="I121" s="222"/>
      <c r="J121" s="223"/>
      <c r="K121" s="223"/>
      <c r="L121" s="223"/>
      <c r="M121" s="223"/>
      <c r="N121" s="224"/>
    </row>
    <row r="122" spans="2:14" ht="16.5" thickBot="1" x14ac:dyDescent="0.3">
      <c r="B122" s="22" t="s">
        <v>12</v>
      </c>
      <c r="C122" s="73">
        <v>106</v>
      </c>
      <c r="D122" s="73">
        <v>96</v>
      </c>
      <c r="E122" s="73">
        <v>116</v>
      </c>
      <c r="F122" s="73">
        <v>108</v>
      </c>
      <c r="G122" s="73">
        <v>99</v>
      </c>
      <c r="H122" s="78">
        <v>116</v>
      </c>
      <c r="I122" s="225"/>
      <c r="J122" s="226"/>
      <c r="K122" s="226"/>
      <c r="L122" s="226"/>
      <c r="M122" s="226"/>
      <c r="N122" s="227"/>
    </row>
    <row r="123" spans="2:14" ht="15.75" thickBot="1" x14ac:dyDescent="0.3"/>
    <row r="124" spans="2:14" ht="15.75" x14ac:dyDescent="0.25">
      <c r="B124" s="2" t="s">
        <v>0</v>
      </c>
      <c r="C124" s="175" t="s">
        <v>59</v>
      </c>
      <c r="D124" s="176"/>
      <c r="E124" s="177" t="s">
        <v>1</v>
      </c>
      <c r="F124" s="178"/>
      <c r="G124" s="11">
        <v>100</v>
      </c>
      <c r="H124" s="179" t="s">
        <v>2</v>
      </c>
      <c r="I124" s="180"/>
      <c r="J124" s="181"/>
      <c r="K124" s="13">
        <v>100</v>
      </c>
      <c r="L124" s="3"/>
      <c r="M124" s="80" t="s">
        <v>11</v>
      </c>
      <c r="N124" s="76">
        <v>44151</v>
      </c>
    </row>
    <row r="125" spans="2:14" ht="15.75" x14ac:dyDescent="0.25">
      <c r="B125" s="4" t="s">
        <v>3</v>
      </c>
      <c r="C125" s="10">
        <v>3617</v>
      </c>
      <c r="D125" s="169" t="s">
        <v>57</v>
      </c>
      <c r="E125" s="170"/>
      <c r="F125" s="171"/>
      <c r="G125" s="18">
        <v>3728</v>
      </c>
      <c r="H125" s="172" t="s">
        <v>4</v>
      </c>
      <c r="I125" s="173"/>
      <c r="J125" s="174"/>
      <c r="K125" s="10">
        <v>45</v>
      </c>
      <c r="L125" s="15"/>
      <c r="M125" s="15"/>
      <c r="N125" s="16"/>
    </row>
    <row r="126" spans="2:14" ht="15.75" x14ac:dyDescent="0.25">
      <c r="B126" s="4" t="s">
        <v>5</v>
      </c>
      <c r="C126" s="19">
        <v>51</v>
      </c>
      <c r="D126" s="169" t="s">
        <v>8</v>
      </c>
      <c r="E126" s="170"/>
      <c r="F126" s="171"/>
      <c r="G126" s="17">
        <v>0.32</v>
      </c>
      <c r="H126" s="172" t="s">
        <v>9</v>
      </c>
      <c r="I126" s="173"/>
      <c r="J126" s="174"/>
      <c r="K126" s="12">
        <v>1.08</v>
      </c>
      <c r="L126" s="172" t="s">
        <v>6</v>
      </c>
      <c r="M126" s="174"/>
      <c r="N126" s="20">
        <v>3.38</v>
      </c>
    </row>
    <row r="127" spans="2:14" ht="16.5" thickBot="1" x14ac:dyDescent="0.3">
      <c r="B127" s="5"/>
      <c r="C127" s="9"/>
      <c r="D127" s="9"/>
      <c r="E127" s="9"/>
      <c r="F127" s="9"/>
      <c r="G127" s="9"/>
      <c r="H127" s="79"/>
      <c r="I127" s="21"/>
      <c r="J127" s="21"/>
      <c r="K127" s="21"/>
      <c r="L127" s="21"/>
      <c r="M127" s="21"/>
      <c r="N127" s="6"/>
    </row>
    <row r="128" spans="2:14" ht="15.75" x14ac:dyDescent="0.25">
      <c r="B128" s="7" t="s">
        <v>7</v>
      </c>
      <c r="C128" s="1">
        <v>1</v>
      </c>
      <c r="D128" s="1">
        <v>2</v>
      </c>
      <c r="E128" s="1">
        <v>3</v>
      </c>
      <c r="F128" s="1">
        <v>4</v>
      </c>
      <c r="G128" s="1">
        <v>5</v>
      </c>
      <c r="H128" s="77">
        <v>6</v>
      </c>
      <c r="I128" s="160" t="s">
        <v>78</v>
      </c>
      <c r="J128" s="220"/>
      <c r="K128" s="220"/>
      <c r="L128" s="220"/>
      <c r="M128" s="220"/>
      <c r="N128" s="221"/>
    </row>
    <row r="129" spans="2:14" ht="16.5" thickBot="1" x14ac:dyDescent="0.3">
      <c r="B129" s="8" t="s">
        <v>10</v>
      </c>
      <c r="C129" s="14">
        <v>16</v>
      </c>
      <c r="D129" s="14">
        <v>18</v>
      </c>
      <c r="E129" s="14">
        <v>17</v>
      </c>
      <c r="F129" s="14">
        <v>16</v>
      </c>
      <c r="G129" s="14">
        <v>17</v>
      </c>
      <c r="H129" s="25">
        <v>19</v>
      </c>
      <c r="I129" s="222"/>
      <c r="J129" s="223"/>
      <c r="K129" s="223"/>
      <c r="L129" s="223"/>
      <c r="M129" s="223"/>
      <c r="N129" s="224"/>
    </row>
    <row r="130" spans="2:14" ht="16.5" thickBot="1" x14ac:dyDescent="0.3">
      <c r="B130" s="22" t="s">
        <v>12</v>
      </c>
      <c r="C130" s="73">
        <v>104</v>
      </c>
      <c r="D130" s="73">
        <v>98</v>
      </c>
      <c r="E130" s="73">
        <v>163</v>
      </c>
      <c r="F130" s="73">
        <v>122</v>
      </c>
      <c r="G130" s="73">
        <v>106</v>
      </c>
      <c r="H130" s="78">
        <v>110</v>
      </c>
      <c r="I130" s="225"/>
      <c r="J130" s="226"/>
      <c r="K130" s="226"/>
      <c r="L130" s="226"/>
      <c r="M130" s="226"/>
      <c r="N130" s="227"/>
    </row>
    <row r="131" spans="2:14" ht="15.75" thickBot="1" x14ac:dyDescent="0.3"/>
    <row r="132" spans="2:14" ht="15.75" x14ac:dyDescent="0.25">
      <c r="B132" s="2" t="s">
        <v>0</v>
      </c>
      <c r="C132" s="175" t="s">
        <v>59</v>
      </c>
      <c r="D132" s="176"/>
      <c r="E132" s="177" t="s">
        <v>1</v>
      </c>
      <c r="F132" s="178"/>
      <c r="G132" s="11">
        <v>100</v>
      </c>
      <c r="H132" s="179" t="s">
        <v>2</v>
      </c>
      <c r="I132" s="180"/>
      <c r="J132" s="181"/>
      <c r="K132" s="13">
        <v>100</v>
      </c>
      <c r="L132" s="3"/>
      <c r="M132" s="80" t="s">
        <v>11</v>
      </c>
      <c r="N132" s="76">
        <v>44168</v>
      </c>
    </row>
    <row r="133" spans="2:14" ht="15.75" x14ac:dyDescent="0.25">
      <c r="B133" s="4" t="s">
        <v>3</v>
      </c>
      <c r="C133" s="10">
        <v>3829</v>
      </c>
      <c r="D133" s="169" t="s">
        <v>57</v>
      </c>
      <c r="E133" s="170"/>
      <c r="F133" s="171"/>
      <c r="G133" s="18">
        <v>3418</v>
      </c>
      <c r="H133" s="172" t="s">
        <v>4</v>
      </c>
      <c r="I133" s="173"/>
      <c r="J133" s="174"/>
      <c r="K133" s="10">
        <v>46</v>
      </c>
      <c r="L133" s="15"/>
      <c r="M133" s="15"/>
      <c r="N133" s="16"/>
    </row>
    <row r="134" spans="2:14" ht="15.75" x14ac:dyDescent="0.25">
      <c r="B134" s="4" t="s">
        <v>5</v>
      </c>
      <c r="C134" s="19">
        <v>25</v>
      </c>
      <c r="D134" s="169" t="s">
        <v>8</v>
      </c>
      <c r="E134" s="170"/>
      <c r="F134" s="171"/>
      <c r="G134" s="17">
        <v>0.3</v>
      </c>
      <c r="H134" s="172" t="s">
        <v>9</v>
      </c>
      <c r="I134" s="173"/>
      <c r="J134" s="174"/>
      <c r="K134" s="12">
        <v>1.01</v>
      </c>
      <c r="L134" s="172" t="s">
        <v>6</v>
      </c>
      <c r="M134" s="174"/>
      <c r="N134" s="20">
        <v>3.38</v>
      </c>
    </row>
    <row r="135" spans="2:14" ht="16.5" thickBot="1" x14ac:dyDescent="0.3">
      <c r="B135" s="5"/>
      <c r="C135" s="9"/>
      <c r="D135" s="9"/>
      <c r="E135" s="9"/>
      <c r="F135" s="9"/>
      <c r="G135" s="9"/>
      <c r="H135" s="79"/>
      <c r="I135" s="21"/>
      <c r="J135" s="21"/>
      <c r="K135" s="21"/>
      <c r="L135" s="21"/>
      <c r="M135" s="21"/>
      <c r="N135" s="6"/>
    </row>
    <row r="136" spans="2:14" ht="15.75" x14ac:dyDescent="0.25">
      <c r="B136" s="7" t="s">
        <v>7</v>
      </c>
      <c r="C136" s="1">
        <v>1</v>
      </c>
      <c r="D136" s="1">
        <v>2</v>
      </c>
      <c r="E136" s="1">
        <v>3</v>
      </c>
      <c r="F136" s="1">
        <v>4</v>
      </c>
      <c r="G136" s="1">
        <v>5</v>
      </c>
      <c r="H136" s="77">
        <v>6</v>
      </c>
      <c r="I136" s="160" t="s">
        <v>79</v>
      </c>
      <c r="J136" s="220"/>
      <c r="K136" s="220"/>
      <c r="L136" s="220"/>
      <c r="M136" s="220"/>
      <c r="N136" s="221"/>
    </row>
    <row r="137" spans="2:14" ht="16.5" thickBot="1" x14ac:dyDescent="0.3">
      <c r="B137" s="8" t="s">
        <v>10</v>
      </c>
      <c r="C137" s="14">
        <v>7</v>
      </c>
      <c r="D137" s="14">
        <v>10</v>
      </c>
      <c r="E137" s="14">
        <v>13</v>
      </c>
      <c r="F137" s="14">
        <v>10</v>
      </c>
      <c r="G137" s="14">
        <v>7</v>
      </c>
      <c r="H137" s="25">
        <v>10</v>
      </c>
      <c r="I137" s="222"/>
      <c r="J137" s="223"/>
      <c r="K137" s="223"/>
      <c r="L137" s="223"/>
      <c r="M137" s="223"/>
      <c r="N137" s="224"/>
    </row>
    <row r="138" spans="2:14" ht="16.5" thickBot="1" x14ac:dyDescent="0.3">
      <c r="B138" s="22" t="s">
        <v>12</v>
      </c>
      <c r="C138" s="73">
        <v>189</v>
      </c>
      <c r="D138" s="73">
        <v>121</v>
      </c>
      <c r="E138" s="73">
        <v>372</v>
      </c>
      <c r="F138" s="73">
        <v>219</v>
      </c>
      <c r="G138" s="73">
        <v>177</v>
      </c>
      <c r="H138" s="78">
        <v>216</v>
      </c>
      <c r="I138" s="225"/>
      <c r="J138" s="226"/>
      <c r="K138" s="226"/>
      <c r="L138" s="226"/>
      <c r="M138" s="226"/>
      <c r="N138" s="227"/>
    </row>
    <row r="139" spans="2:14" ht="15.75" thickBot="1" x14ac:dyDescent="0.3"/>
    <row r="140" spans="2:14" ht="15.75" x14ac:dyDescent="0.25">
      <c r="B140" s="2" t="s">
        <v>0</v>
      </c>
      <c r="C140" s="175" t="s">
        <v>59</v>
      </c>
      <c r="D140" s="176"/>
      <c r="E140" s="177" t="s">
        <v>1</v>
      </c>
      <c r="F140" s="178"/>
      <c r="G140" s="11">
        <v>100</v>
      </c>
      <c r="H140" s="179" t="s">
        <v>2</v>
      </c>
      <c r="I140" s="180"/>
      <c r="J140" s="181"/>
      <c r="K140" s="13">
        <v>100</v>
      </c>
      <c r="L140" s="3"/>
      <c r="M140" s="80" t="s">
        <v>11</v>
      </c>
      <c r="N140" s="76">
        <v>44176</v>
      </c>
    </row>
    <row r="141" spans="2:14" ht="15.75" x14ac:dyDescent="0.25">
      <c r="B141" s="4" t="s">
        <v>3</v>
      </c>
      <c r="C141" s="10">
        <v>3963</v>
      </c>
      <c r="D141" s="169" t="s">
        <v>57</v>
      </c>
      <c r="E141" s="170"/>
      <c r="F141" s="171"/>
      <c r="G141" s="18">
        <v>6912</v>
      </c>
      <c r="H141" s="172" t="s">
        <v>4</v>
      </c>
      <c r="I141" s="173"/>
      <c r="J141" s="174"/>
      <c r="K141" s="10">
        <v>57.8</v>
      </c>
      <c r="L141" s="15"/>
      <c r="M141" s="15"/>
      <c r="N141" s="16"/>
    </row>
    <row r="142" spans="2:14" ht="15.75" x14ac:dyDescent="0.25">
      <c r="B142" s="4" t="s">
        <v>5</v>
      </c>
      <c r="C142" s="19">
        <v>63</v>
      </c>
      <c r="D142" s="169" t="s">
        <v>8</v>
      </c>
      <c r="E142" s="170"/>
      <c r="F142" s="171"/>
      <c r="G142" s="17">
        <v>0.34</v>
      </c>
      <c r="H142" s="172" t="s">
        <v>9</v>
      </c>
      <c r="I142" s="173"/>
      <c r="J142" s="174"/>
      <c r="K142" s="12">
        <v>1.1499999999999999</v>
      </c>
      <c r="L142" s="172" t="s">
        <v>6</v>
      </c>
      <c r="M142" s="174"/>
      <c r="N142" s="20">
        <v>3.38</v>
      </c>
    </row>
    <row r="143" spans="2:14" ht="16.5" thickBot="1" x14ac:dyDescent="0.3">
      <c r="B143" s="5"/>
      <c r="C143" s="9"/>
      <c r="D143" s="9"/>
      <c r="E143" s="9"/>
      <c r="F143" s="9"/>
      <c r="G143" s="9"/>
      <c r="H143" s="79"/>
      <c r="I143" s="21"/>
      <c r="J143" s="21"/>
      <c r="K143" s="21"/>
      <c r="L143" s="21"/>
      <c r="M143" s="21"/>
      <c r="N143" s="6"/>
    </row>
    <row r="144" spans="2:14" ht="15.75" x14ac:dyDescent="0.25">
      <c r="B144" s="7" t="s">
        <v>7</v>
      </c>
      <c r="C144" s="1">
        <v>1</v>
      </c>
      <c r="D144" s="1">
        <v>2</v>
      </c>
      <c r="E144" s="1">
        <v>3</v>
      </c>
      <c r="F144" s="1">
        <v>4</v>
      </c>
      <c r="G144" s="1">
        <v>5</v>
      </c>
      <c r="H144" s="77">
        <v>6</v>
      </c>
      <c r="I144" s="160" t="s">
        <v>80</v>
      </c>
      <c r="J144" s="220"/>
      <c r="K144" s="220"/>
      <c r="L144" s="220"/>
      <c r="M144" s="220"/>
      <c r="N144" s="221"/>
    </row>
    <row r="145" spans="2:14" ht="16.5" thickBot="1" x14ac:dyDescent="0.3">
      <c r="B145" s="8" t="s">
        <v>10</v>
      </c>
      <c r="C145" s="14">
        <v>23</v>
      </c>
      <c r="D145" s="14">
        <v>21</v>
      </c>
      <c r="E145" s="14">
        <v>22</v>
      </c>
      <c r="F145" s="14">
        <v>20</v>
      </c>
      <c r="G145" s="14">
        <v>23</v>
      </c>
      <c r="H145" s="25">
        <v>22</v>
      </c>
      <c r="I145" s="222"/>
      <c r="J145" s="223"/>
      <c r="K145" s="223"/>
      <c r="L145" s="223"/>
      <c r="M145" s="223"/>
      <c r="N145" s="224"/>
    </row>
    <row r="146" spans="2:14" ht="16.5" thickBot="1" x14ac:dyDescent="0.3">
      <c r="B146" s="22" t="s">
        <v>12</v>
      </c>
      <c r="C146" s="73">
        <v>104</v>
      </c>
      <c r="D146" s="73">
        <v>97</v>
      </c>
      <c r="E146" s="73">
        <v>111</v>
      </c>
      <c r="F146" s="73">
        <v>117</v>
      </c>
      <c r="G146" s="73">
        <v>114</v>
      </c>
      <c r="H146" s="78">
        <v>125</v>
      </c>
      <c r="I146" s="225"/>
      <c r="J146" s="226"/>
      <c r="K146" s="226"/>
      <c r="L146" s="226"/>
      <c r="M146" s="226"/>
      <c r="N146" s="227"/>
    </row>
    <row r="147" spans="2:14" ht="15.75" thickBot="1" x14ac:dyDescent="0.3"/>
    <row r="148" spans="2:14" ht="15.75" x14ac:dyDescent="0.25">
      <c r="B148" s="2" t="s">
        <v>0</v>
      </c>
      <c r="C148" s="175" t="s">
        <v>59</v>
      </c>
      <c r="D148" s="176"/>
      <c r="E148" s="177" t="s">
        <v>1</v>
      </c>
      <c r="F148" s="178"/>
      <c r="G148" s="11">
        <v>100</v>
      </c>
      <c r="H148" s="179" t="s">
        <v>2</v>
      </c>
      <c r="I148" s="180"/>
      <c r="J148" s="181"/>
      <c r="K148" s="13">
        <v>100</v>
      </c>
      <c r="L148" s="3"/>
      <c r="M148" s="80" t="s">
        <v>11</v>
      </c>
      <c r="N148" s="76">
        <v>44182</v>
      </c>
    </row>
    <row r="149" spans="2:14" ht="15.75" x14ac:dyDescent="0.25">
      <c r="B149" s="4" t="s">
        <v>3</v>
      </c>
      <c r="C149" s="10">
        <v>4103.6000000000004</v>
      </c>
      <c r="D149" s="169" t="s">
        <v>57</v>
      </c>
      <c r="E149" s="170"/>
      <c r="F149" s="171"/>
      <c r="G149" s="18">
        <v>6355</v>
      </c>
      <c r="H149" s="172" t="s">
        <v>4</v>
      </c>
      <c r="I149" s="173"/>
      <c r="J149" s="174"/>
      <c r="K149" s="10">
        <v>57.7</v>
      </c>
      <c r="L149" s="15"/>
      <c r="M149" s="15"/>
      <c r="N149" s="16"/>
    </row>
    <row r="150" spans="2:14" ht="15.75" x14ac:dyDescent="0.25">
      <c r="B150" s="4" t="s">
        <v>5</v>
      </c>
      <c r="C150" s="19">
        <v>65</v>
      </c>
      <c r="D150" s="169" t="s">
        <v>8</v>
      </c>
      <c r="E150" s="170"/>
      <c r="F150" s="171"/>
      <c r="G150" s="17">
        <v>0.3</v>
      </c>
      <c r="H150" s="172" t="s">
        <v>9</v>
      </c>
      <c r="I150" s="173"/>
      <c r="J150" s="174"/>
      <c r="K150" s="12">
        <v>1.01</v>
      </c>
      <c r="L150" s="172" t="s">
        <v>6</v>
      </c>
      <c r="M150" s="174"/>
      <c r="N150" s="20">
        <v>3.38</v>
      </c>
    </row>
    <row r="151" spans="2:14" ht="16.5" thickBot="1" x14ac:dyDescent="0.3">
      <c r="B151" s="5"/>
      <c r="C151" s="9"/>
      <c r="D151" s="9"/>
      <c r="E151" s="9"/>
      <c r="F151" s="9"/>
      <c r="G151" s="9"/>
      <c r="H151" s="79"/>
      <c r="I151" s="21"/>
      <c r="J151" s="21"/>
      <c r="K151" s="21"/>
      <c r="L151" s="21"/>
      <c r="M151" s="21"/>
      <c r="N151" s="6"/>
    </row>
    <row r="152" spans="2:14" ht="15.75" x14ac:dyDescent="0.25">
      <c r="B152" s="7" t="s">
        <v>7</v>
      </c>
      <c r="C152" s="1">
        <v>1</v>
      </c>
      <c r="D152" s="1">
        <v>2</v>
      </c>
      <c r="E152" s="1">
        <v>3</v>
      </c>
      <c r="F152" s="1">
        <v>4</v>
      </c>
      <c r="G152" s="1">
        <v>5</v>
      </c>
      <c r="H152" s="77">
        <v>6</v>
      </c>
      <c r="I152" s="160" t="s">
        <v>81</v>
      </c>
      <c r="J152" s="220"/>
      <c r="K152" s="220"/>
      <c r="L152" s="220"/>
      <c r="M152" s="220"/>
      <c r="N152" s="221"/>
    </row>
    <row r="153" spans="2:14" ht="16.5" thickBot="1" x14ac:dyDescent="0.3">
      <c r="B153" s="8" t="s">
        <v>10</v>
      </c>
      <c r="C153" s="14">
        <v>21</v>
      </c>
      <c r="D153" s="14">
        <v>20</v>
      </c>
      <c r="E153" s="14">
        <v>20</v>
      </c>
      <c r="F153" s="14">
        <v>19</v>
      </c>
      <c r="G153" s="14">
        <v>18</v>
      </c>
      <c r="H153" s="25">
        <v>22</v>
      </c>
      <c r="I153" s="222"/>
      <c r="J153" s="223"/>
      <c r="K153" s="223"/>
      <c r="L153" s="223"/>
      <c r="M153" s="223"/>
      <c r="N153" s="224"/>
    </row>
    <row r="154" spans="2:14" ht="16.5" thickBot="1" x14ac:dyDescent="0.3">
      <c r="B154" s="22" t="s">
        <v>12</v>
      </c>
      <c r="C154" s="73">
        <v>136</v>
      </c>
      <c r="D154" s="73">
        <v>130</v>
      </c>
      <c r="E154" s="73">
        <v>198</v>
      </c>
      <c r="F154" s="73">
        <v>180</v>
      </c>
      <c r="G154" s="73">
        <v>210</v>
      </c>
      <c r="H154" s="78">
        <v>151</v>
      </c>
      <c r="I154" s="225"/>
      <c r="J154" s="226"/>
      <c r="K154" s="226"/>
      <c r="L154" s="226"/>
      <c r="M154" s="226"/>
      <c r="N154" s="227"/>
    </row>
    <row r="157" spans="2:14" ht="36" x14ac:dyDescent="0.55000000000000004">
      <c r="E157" s="228">
        <v>2021</v>
      </c>
      <c r="F157" s="228"/>
      <c r="G157" s="228"/>
      <c r="H157" s="228"/>
      <c r="I157" s="72"/>
    </row>
    <row r="159" spans="2:14" ht="15.75" thickBot="1" x14ac:dyDescent="0.3"/>
    <row r="160" spans="2:14" ht="15.75" x14ac:dyDescent="0.25">
      <c r="B160" s="2" t="s">
        <v>0</v>
      </c>
      <c r="C160" s="175" t="s">
        <v>59</v>
      </c>
      <c r="D160" s="176"/>
      <c r="E160" s="177" t="s">
        <v>1</v>
      </c>
      <c r="F160" s="178"/>
      <c r="G160" s="11">
        <v>100</v>
      </c>
      <c r="H160" s="179" t="s">
        <v>2</v>
      </c>
      <c r="I160" s="180"/>
      <c r="J160" s="181"/>
      <c r="K160" s="13">
        <v>100</v>
      </c>
      <c r="L160" s="3"/>
      <c r="M160" s="80" t="s">
        <v>11</v>
      </c>
      <c r="N160" s="76">
        <v>44205</v>
      </c>
    </row>
    <row r="161" spans="2:14" ht="15.75" x14ac:dyDescent="0.25">
      <c r="B161" s="4" t="s">
        <v>3</v>
      </c>
      <c r="C161" s="10">
        <v>4458</v>
      </c>
      <c r="D161" s="169" t="s">
        <v>57</v>
      </c>
      <c r="E161" s="170"/>
      <c r="F161" s="171"/>
      <c r="G161" s="18">
        <v>7100</v>
      </c>
      <c r="H161" s="172" t="s">
        <v>4</v>
      </c>
      <c r="I161" s="173"/>
      <c r="J161" s="174"/>
      <c r="K161" s="10">
        <v>60</v>
      </c>
      <c r="L161" s="15"/>
      <c r="M161" s="15"/>
      <c r="N161" s="16"/>
    </row>
    <row r="162" spans="2:14" ht="15.75" x14ac:dyDescent="0.25">
      <c r="B162" s="4" t="s">
        <v>5</v>
      </c>
      <c r="C162" s="19">
        <v>65</v>
      </c>
      <c r="D162" s="169" t="s">
        <v>8</v>
      </c>
      <c r="E162" s="170"/>
      <c r="F162" s="171"/>
      <c r="G162" s="17">
        <v>0.36</v>
      </c>
      <c r="H162" s="172" t="s">
        <v>9</v>
      </c>
      <c r="I162" s="173"/>
      <c r="J162" s="174"/>
      <c r="K162" s="12">
        <v>0.95</v>
      </c>
      <c r="L162" s="172" t="s">
        <v>6</v>
      </c>
      <c r="M162" s="174"/>
      <c r="N162" s="20">
        <v>2.65</v>
      </c>
    </row>
    <row r="163" spans="2:14" ht="16.5" thickBot="1" x14ac:dyDescent="0.3">
      <c r="B163" s="5"/>
      <c r="C163" s="9"/>
      <c r="D163" s="9"/>
      <c r="E163" s="9"/>
      <c r="F163" s="9"/>
      <c r="G163" s="9"/>
      <c r="H163" s="79"/>
      <c r="I163" s="21"/>
      <c r="J163" s="21"/>
      <c r="K163" s="21"/>
      <c r="L163" s="21"/>
      <c r="M163" s="21"/>
      <c r="N163" s="6"/>
    </row>
    <row r="164" spans="2:14" ht="15.75" x14ac:dyDescent="0.25">
      <c r="B164" s="7" t="s">
        <v>7</v>
      </c>
      <c r="C164" s="1">
        <v>1</v>
      </c>
      <c r="D164" s="1">
        <v>2</v>
      </c>
      <c r="E164" s="1">
        <v>3</v>
      </c>
      <c r="F164" s="1">
        <v>4</v>
      </c>
      <c r="G164" s="1">
        <v>5</v>
      </c>
      <c r="H164" s="77">
        <v>6</v>
      </c>
      <c r="I164" s="160" t="s">
        <v>63</v>
      </c>
      <c r="J164" s="220"/>
      <c r="K164" s="220"/>
      <c r="L164" s="220"/>
      <c r="M164" s="220"/>
      <c r="N164" s="221"/>
    </row>
    <row r="165" spans="2:14" ht="16.5" thickBot="1" x14ac:dyDescent="0.3">
      <c r="B165" s="8" t="s">
        <v>10</v>
      </c>
      <c r="C165" s="14">
        <v>23</v>
      </c>
      <c r="D165" s="14">
        <v>25</v>
      </c>
      <c r="E165" s="14">
        <v>25</v>
      </c>
      <c r="F165" s="14">
        <v>24</v>
      </c>
      <c r="G165" s="14">
        <v>24</v>
      </c>
      <c r="H165" s="25">
        <v>26</v>
      </c>
      <c r="I165" s="222"/>
      <c r="J165" s="223"/>
      <c r="K165" s="223"/>
      <c r="L165" s="223"/>
      <c r="M165" s="223"/>
      <c r="N165" s="224"/>
    </row>
    <row r="166" spans="2:14" ht="16.5" thickBot="1" x14ac:dyDescent="0.3">
      <c r="B166" s="22" t="s">
        <v>12</v>
      </c>
      <c r="C166" s="73">
        <v>149</v>
      </c>
      <c r="D166" s="73">
        <v>123</v>
      </c>
      <c r="E166" s="73">
        <v>118</v>
      </c>
      <c r="F166" s="73">
        <v>159</v>
      </c>
      <c r="G166" s="73">
        <v>149</v>
      </c>
      <c r="H166" s="78">
        <v>160</v>
      </c>
      <c r="I166" s="225"/>
      <c r="J166" s="226"/>
      <c r="K166" s="226"/>
      <c r="L166" s="226"/>
      <c r="M166" s="226"/>
      <c r="N166" s="227"/>
    </row>
    <row r="168" spans="2:14" ht="15.75" thickBot="1" x14ac:dyDescent="0.3"/>
    <row r="169" spans="2:14" ht="15.75" x14ac:dyDescent="0.25">
      <c r="B169" s="2" t="s">
        <v>0</v>
      </c>
      <c r="C169" s="175" t="s">
        <v>59</v>
      </c>
      <c r="D169" s="176"/>
      <c r="E169" s="177" t="s">
        <v>1</v>
      </c>
      <c r="F169" s="178"/>
      <c r="G169" s="11">
        <v>100</v>
      </c>
      <c r="H169" s="179" t="s">
        <v>2</v>
      </c>
      <c r="I169" s="180"/>
      <c r="J169" s="181"/>
      <c r="K169" s="13">
        <v>100</v>
      </c>
      <c r="L169" s="3"/>
      <c r="M169" s="80" t="s">
        <v>11</v>
      </c>
      <c r="N169" s="76">
        <v>44253</v>
      </c>
    </row>
    <row r="170" spans="2:14" ht="15.75" x14ac:dyDescent="0.25">
      <c r="B170" s="4" t="s">
        <v>3</v>
      </c>
      <c r="C170" s="10">
        <v>5018</v>
      </c>
      <c r="D170" s="169" t="s">
        <v>57</v>
      </c>
      <c r="E170" s="170"/>
      <c r="F170" s="171"/>
      <c r="G170" s="18">
        <v>8811</v>
      </c>
      <c r="H170" s="172" t="s">
        <v>4</v>
      </c>
      <c r="I170" s="173"/>
      <c r="J170" s="174"/>
      <c r="K170" s="10">
        <v>63</v>
      </c>
      <c r="L170" s="15"/>
      <c r="M170" s="15"/>
      <c r="N170" s="16"/>
    </row>
    <row r="171" spans="2:14" ht="15.75" x14ac:dyDescent="0.25">
      <c r="B171" s="4" t="s">
        <v>5</v>
      </c>
      <c r="C171" s="19">
        <v>70</v>
      </c>
      <c r="D171" s="169" t="s">
        <v>8</v>
      </c>
      <c r="E171" s="170"/>
      <c r="F171" s="171"/>
      <c r="G171" s="17">
        <v>0.38</v>
      </c>
      <c r="H171" s="172" t="s">
        <v>9</v>
      </c>
      <c r="I171" s="173"/>
      <c r="J171" s="174"/>
      <c r="K171" s="12">
        <v>0.96</v>
      </c>
      <c r="L171" s="172" t="s">
        <v>6</v>
      </c>
      <c r="M171" s="174"/>
      <c r="N171" s="20">
        <v>2.65</v>
      </c>
    </row>
    <row r="172" spans="2:14" ht="16.5" thickBot="1" x14ac:dyDescent="0.3">
      <c r="B172" s="5"/>
      <c r="C172" s="9"/>
      <c r="D172" s="9"/>
      <c r="E172" s="9"/>
      <c r="F172" s="9"/>
      <c r="G172" s="9"/>
      <c r="H172" s="79"/>
      <c r="I172" s="21"/>
      <c r="J172" s="21"/>
      <c r="K172" s="21"/>
      <c r="L172" s="21"/>
      <c r="M172" s="21"/>
      <c r="N172" s="6"/>
    </row>
    <row r="173" spans="2:14" ht="15.75" x14ac:dyDescent="0.25">
      <c r="B173" s="7" t="s">
        <v>7</v>
      </c>
      <c r="C173" s="1">
        <v>1</v>
      </c>
      <c r="D173" s="1">
        <v>2</v>
      </c>
      <c r="E173" s="1">
        <v>3</v>
      </c>
      <c r="F173" s="1">
        <v>4</v>
      </c>
      <c r="G173" s="1">
        <v>5</v>
      </c>
      <c r="H173" s="77">
        <v>6</v>
      </c>
      <c r="I173" s="160" t="s">
        <v>70</v>
      </c>
      <c r="J173" s="220"/>
      <c r="K173" s="220"/>
      <c r="L173" s="220"/>
      <c r="M173" s="220"/>
      <c r="N173" s="221"/>
    </row>
    <row r="174" spans="2:14" ht="16.5" thickBot="1" x14ac:dyDescent="0.3">
      <c r="B174" s="8" t="s">
        <v>10</v>
      </c>
      <c r="C174" s="14">
        <v>23</v>
      </c>
      <c r="D174" s="14">
        <v>22</v>
      </c>
      <c r="E174" s="14">
        <v>24</v>
      </c>
      <c r="F174" s="14">
        <v>21</v>
      </c>
      <c r="G174" s="14">
        <v>21</v>
      </c>
      <c r="H174" s="25">
        <v>26</v>
      </c>
      <c r="I174" s="222"/>
      <c r="J174" s="223"/>
      <c r="K174" s="223"/>
      <c r="L174" s="223"/>
      <c r="M174" s="223"/>
      <c r="N174" s="224"/>
    </row>
    <row r="175" spans="2:14" ht="16.5" thickBot="1" x14ac:dyDescent="0.3">
      <c r="B175" s="22" t="s">
        <v>12</v>
      </c>
      <c r="C175" s="73">
        <v>174</v>
      </c>
      <c r="D175" s="73">
        <v>112</v>
      </c>
      <c r="E175" s="73">
        <v>114</v>
      </c>
      <c r="F175" s="73">
        <v>142</v>
      </c>
      <c r="G175" s="73">
        <v>117</v>
      </c>
      <c r="H175" s="78">
        <v>121</v>
      </c>
      <c r="I175" s="225"/>
      <c r="J175" s="226"/>
      <c r="K175" s="226"/>
      <c r="L175" s="226"/>
      <c r="M175" s="226"/>
      <c r="N175" s="227"/>
    </row>
    <row r="177" spans="2:14" ht="15.75" thickBot="1" x14ac:dyDescent="0.3"/>
    <row r="178" spans="2:14" ht="15.75" x14ac:dyDescent="0.25">
      <c r="B178" s="2" t="s">
        <v>0</v>
      </c>
      <c r="C178" s="175" t="s">
        <v>59</v>
      </c>
      <c r="D178" s="176"/>
      <c r="E178" s="177" t="s">
        <v>1</v>
      </c>
      <c r="F178" s="178"/>
      <c r="G178" s="11">
        <v>100</v>
      </c>
      <c r="H178" s="179" t="s">
        <v>2</v>
      </c>
      <c r="I178" s="180"/>
      <c r="J178" s="181"/>
      <c r="K178" s="13">
        <v>100</v>
      </c>
      <c r="L178" s="3"/>
      <c r="M178" s="80" t="s">
        <v>11</v>
      </c>
      <c r="N178" s="76">
        <v>44261</v>
      </c>
    </row>
    <row r="179" spans="2:14" ht="15.75" x14ac:dyDescent="0.25">
      <c r="B179" s="4" t="s">
        <v>3</v>
      </c>
      <c r="C179" s="10">
        <v>5187</v>
      </c>
      <c r="D179" s="169" t="s">
        <v>57</v>
      </c>
      <c r="E179" s="170"/>
      <c r="F179" s="171"/>
      <c r="G179" s="18">
        <v>7933</v>
      </c>
      <c r="H179" s="172" t="s">
        <v>4</v>
      </c>
      <c r="I179" s="173"/>
      <c r="J179" s="174"/>
      <c r="K179" s="10">
        <v>61</v>
      </c>
      <c r="L179" s="15"/>
      <c r="M179" s="15"/>
      <c r="N179" s="16"/>
    </row>
    <row r="180" spans="2:14" ht="15.75" x14ac:dyDescent="0.25">
      <c r="B180" s="4" t="s">
        <v>5</v>
      </c>
      <c r="C180" s="19">
        <v>67</v>
      </c>
      <c r="D180" s="169" t="s">
        <v>8</v>
      </c>
      <c r="E180" s="170"/>
      <c r="F180" s="171"/>
      <c r="G180" s="17">
        <v>0.38</v>
      </c>
      <c r="H180" s="172" t="s">
        <v>9</v>
      </c>
      <c r="I180" s="173"/>
      <c r="J180" s="174"/>
      <c r="K180" s="12">
        <v>0.96</v>
      </c>
      <c r="L180" s="172" t="s">
        <v>6</v>
      </c>
      <c r="M180" s="174"/>
      <c r="N180" s="20">
        <v>2.65</v>
      </c>
    </row>
    <row r="181" spans="2:14" ht="16.5" thickBot="1" x14ac:dyDescent="0.3">
      <c r="B181" s="5"/>
      <c r="C181" s="9"/>
      <c r="D181" s="9"/>
      <c r="E181" s="9"/>
      <c r="F181" s="9"/>
      <c r="G181" s="9"/>
      <c r="H181" s="79"/>
      <c r="I181" s="21"/>
      <c r="J181" s="21"/>
      <c r="K181" s="21"/>
      <c r="L181" s="21"/>
      <c r="M181" s="21"/>
      <c r="N181" s="6"/>
    </row>
    <row r="182" spans="2:14" ht="15.75" x14ac:dyDescent="0.25">
      <c r="B182" s="7" t="s">
        <v>7</v>
      </c>
      <c r="C182" s="1">
        <v>1</v>
      </c>
      <c r="D182" s="1">
        <v>2</v>
      </c>
      <c r="E182" s="1">
        <v>3</v>
      </c>
      <c r="F182" s="1">
        <v>4</v>
      </c>
      <c r="G182" s="1">
        <v>5</v>
      </c>
      <c r="H182" s="77">
        <v>6</v>
      </c>
      <c r="I182" s="160" t="s">
        <v>82</v>
      </c>
      <c r="J182" s="220"/>
      <c r="K182" s="220"/>
      <c r="L182" s="220"/>
      <c r="M182" s="220"/>
      <c r="N182" s="221"/>
    </row>
    <row r="183" spans="2:14" ht="16.5" thickBot="1" x14ac:dyDescent="0.3">
      <c r="B183" s="8" t="s">
        <v>10</v>
      </c>
      <c r="C183" s="14">
        <v>23</v>
      </c>
      <c r="D183" s="14">
        <v>24</v>
      </c>
      <c r="E183" s="14">
        <v>24</v>
      </c>
      <c r="F183" s="14">
        <v>22</v>
      </c>
      <c r="G183" s="14">
        <v>23</v>
      </c>
      <c r="H183" s="25">
        <v>26</v>
      </c>
      <c r="I183" s="222"/>
      <c r="J183" s="223"/>
      <c r="K183" s="223"/>
      <c r="L183" s="223"/>
      <c r="M183" s="223"/>
      <c r="N183" s="224"/>
    </row>
    <row r="184" spans="2:14" ht="16.5" thickBot="1" x14ac:dyDescent="0.3">
      <c r="B184" s="22" t="s">
        <v>12</v>
      </c>
      <c r="C184" s="73">
        <v>105</v>
      </c>
      <c r="D184" s="73">
        <v>101</v>
      </c>
      <c r="E184" s="73">
        <v>97</v>
      </c>
      <c r="F184" s="73">
        <v>91</v>
      </c>
      <c r="G184" s="73">
        <v>102</v>
      </c>
      <c r="H184" s="78">
        <v>106</v>
      </c>
      <c r="I184" s="225"/>
      <c r="J184" s="226"/>
      <c r="K184" s="226"/>
      <c r="L184" s="226"/>
      <c r="M184" s="226"/>
      <c r="N184" s="227"/>
    </row>
    <row r="186" spans="2:14" ht="15.75" thickBot="1" x14ac:dyDescent="0.3"/>
    <row r="187" spans="2:14" ht="15.75" x14ac:dyDescent="0.25">
      <c r="B187" s="2" t="s">
        <v>0</v>
      </c>
      <c r="C187" s="175" t="s">
        <v>59</v>
      </c>
      <c r="D187" s="176"/>
      <c r="E187" s="177" t="s">
        <v>1</v>
      </c>
      <c r="F187" s="178"/>
      <c r="G187" s="11">
        <v>100</v>
      </c>
      <c r="H187" s="179" t="s">
        <v>2</v>
      </c>
      <c r="I187" s="180"/>
      <c r="J187" s="181"/>
      <c r="K187" s="13">
        <v>100</v>
      </c>
      <c r="L187" s="3"/>
      <c r="M187" s="80" t="s">
        <v>11</v>
      </c>
      <c r="N187" s="76">
        <v>44268</v>
      </c>
    </row>
    <row r="188" spans="2:14" ht="15.75" x14ac:dyDescent="0.25">
      <c r="B188" s="4" t="s">
        <v>3</v>
      </c>
      <c r="C188" s="10">
        <v>5333</v>
      </c>
      <c r="D188" s="169" t="s">
        <v>57</v>
      </c>
      <c r="E188" s="170"/>
      <c r="F188" s="171"/>
      <c r="G188" s="18">
        <v>7012</v>
      </c>
      <c r="H188" s="172" t="s">
        <v>4</v>
      </c>
      <c r="I188" s="173"/>
      <c r="J188" s="174"/>
      <c r="K188" s="10">
        <v>58</v>
      </c>
      <c r="L188" s="15"/>
      <c r="M188" s="15"/>
      <c r="N188" s="16"/>
    </row>
    <row r="189" spans="2:14" ht="15.75" x14ac:dyDescent="0.25">
      <c r="B189" s="4" t="s">
        <v>5</v>
      </c>
      <c r="C189" s="19">
        <v>63</v>
      </c>
      <c r="D189" s="169" t="s">
        <v>8</v>
      </c>
      <c r="E189" s="170"/>
      <c r="F189" s="171"/>
      <c r="G189" s="17">
        <v>0.38</v>
      </c>
      <c r="H189" s="172" t="s">
        <v>9</v>
      </c>
      <c r="I189" s="173"/>
      <c r="J189" s="174"/>
      <c r="K189" s="12">
        <v>0.96</v>
      </c>
      <c r="L189" s="172" t="s">
        <v>6</v>
      </c>
      <c r="M189" s="174"/>
      <c r="N189" s="20">
        <v>2.65</v>
      </c>
    </row>
    <row r="190" spans="2:14" ht="16.5" thickBot="1" x14ac:dyDescent="0.3">
      <c r="B190" s="5"/>
      <c r="C190" s="9"/>
      <c r="D190" s="9"/>
      <c r="E190" s="9"/>
      <c r="F190" s="9"/>
      <c r="G190" s="9"/>
      <c r="H190" s="79"/>
      <c r="I190" s="21"/>
      <c r="J190" s="21"/>
      <c r="K190" s="21"/>
      <c r="L190" s="21"/>
      <c r="M190" s="21"/>
      <c r="N190" s="6"/>
    </row>
    <row r="191" spans="2:14" ht="15.75" x14ac:dyDescent="0.25">
      <c r="B191" s="7" t="s">
        <v>7</v>
      </c>
      <c r="C191" s="1">
        <v>1</v>
      </c>
      <c r="D191" s="1">
        <v>2</v>
      </c>
      <c r="E191" s="1">
        <v>3</v>
      </c>
      <c r="F191" s="1">
        <v>4</v>
      </c>
      <c r="G191" s="1">
        <v>5</v>
      </c>
      <c r="H191" s="77">
        <v>6</v>
      </c>
      <c r="I191" s="160" t="s">
        <v>83</v>
      </c>
      <c r="J191" s="220"/>
      <c r="K191" s="220"/>
      <c r="L191" s="220"/>
      <c r="M191" s="220"/>
      <c r="N191" s="221"/>
    </row>
    <row r="192" spans="2:14" ht="16.5" thickBot="1" x14ac:dyDescent="0.3">
      <c r="B192" s="8" t="s">
        <v>10</v>
      </c>
      <c r="C192" s="14">
        <v>23</v>
      </c>
      <c r="D192" s="14">
        <v>24</v>
      </c>
      <c r="E192" s="14">
        <v>26</v>
      </c>
      <c r="F192" s="14">
        <v>23</v>
      </c>
      <c r="G192" s="14">
        <v>21</v>
      </c>
      <c r="H192" s="25">
        <v>25</v>
      </c>
      <c r="I192" s="222"/>
      <c r="J192" s="223"/>
      <c r="K192" s="223"/>
      <c r="L192" s="223"/>
      <c r="M192" s="223"/>
      <c r="N192" s="224"/>
    </row>
    <row r="193" spans="2:14" ht="16.5" thickBot="1" x14ac:dyDescent="0.3">
      <c r="B193" s="22" t="s">
        <v>12</v>
      </c>
      <c r="C193" s="73">
        <v>109</v>
      </c>
      <c r="D193" s="73">
        <v>91</v>
      </c>
      <c r="E193" s="73">
        <v>113</v>
      </c>
      <c r="F193" s="73">
        <v>112</v>
      </c>
      <c r="G193" s="73">
        <v>95</v>
      </c>
      <c r="H193" s="78">
        <v>104</v>
      </c>
      <c r="I193" s="225"/>
      <c r="J193" s="226"/>
      <c r="K193" s="226"/>
      <c r="L193" s="226"/>
      <c r="M193" s="226"/>
      <c r="N193" s="227"/>
    </row>
    <row r="195" spans="2:14" ht="15.75" thickBot="1" x14ac:dyDescent="0.3"/>
    <row r="196" spans="2:14" ht="15.75" x14ac:dyDescent="0.25">
      <c r="B196" s="2" t="s">
        <v>0</v>
      </c>
      <c r="C196" s="175" t="s">
        <v>59</v>
      </c>
      <c r="D196" s="176"/>
      <c r="E196" s="177" t="s">
        <v>1</v>
      </c>
      <c r="F196" s="178"/>
      <c r="G196" s="11">
        <v>100</v>
      </c>
      <c r="H196" s="179" t="s">
        <v>2</v>
      </c>
      <c r="I196" s="180"/>
      <c r="J196" s="181"/>
      <c r="K196" s="13">
        <v>100</v>
      </c>
      <c r="L196" s="3"/>
      <c r="M196" s="80" t="s">
        <v>11</v>
      </c>
      <c r="N196" s="76">
        <v>44275</v>
      </c>
    </row>
    <row r="197" spans="2:14" ht="15.75" x14ac:dyDescent="0.25">
      <c r="B197" s="4" t="s">
        <v>3</v>
      </c>
      <c r="C197" s="10">
        <v>5490</v>
      </c>
      <c r="D197" s="169" t="s">
        <v>57</v>
      </c>
      <c r="E197" s="170"/>
      <c r="F197" s="171"/>
      <c r="G197" s="18"/>
      <c r="H197" s="172" t="s">
        <v>4</v>
      </c>
      <c r="I197" s="173"/>
      <c r="J197" s="174"/>
      <c r="K197" s="10"/>
      <c r="L197" s="15"/>
      <c r="M197" s="15"/>
      <c r="N197" s="16"/>
    </row>
    <row r="198" spans="2:14" ht="15.75" x14ac:dyDescent="0.25">
      <c r="B198" s="4" t="s">
        <v>5</v>
      </c>
      <c r="C198" s="19"/>
      <c r="D198" s="169" t="s">
        <v>8</v>
      </c>
      <c r="E198" s="170"/>
      <c r="F198" s="171"/>
      <c r="G198" s="17"/>
      <c r="H198" s="172" t="s">
        <v>9</v>
      </c>
      <c r="I198" s="173"/>
      <c r="J198" s="174"/>
      <c r="K198" s="12"/>
      <c r="L198" s="172" t="s">
        <v>6</v>
      </c>
      <c r="M198" s="174"/>
      <c r="N198" s="20">
        <v>2.65</v>
      </c>
    </row>
    <row r="199" spans="2:14" ht="16.5" thickBot="1" x14ac:dyDescent="0.3">
      <c r="B199" s="5"/>
      <c r="C199" s="9"/>
      <c r="D199" s="9"/>
      <c r="E199" s="9"/>
      <c r="F199" s="9"/>
      <c r="G199" s="9"/>
      <c r="H199" s="79"/>
      <c r="I199" s="21"/>
      <c r="J199" s="21"/>
      <c r="K199" s="21"/>
      <c r="L199" s="21"/>
      <c r="M199" s="21"/>
      <c r="N199" s="6"/>
    </row>
    <row r="200" spans="2:14" ht="15.75" x14ac:dyDescent="0.25">
      <c r="B200" s="7" t="s">
        <v>7</v>
      </c>
      <c r="C200" s="1">
        <v>1</v>
      </c>
      <c r="D200" s="1">
        <v>2</v>
      </c>
      <c r="E200" s="1">
        <v>3</v>
      </c>
      <c r="F200" s="1">
        <v>4</v>
      </c>
      <c r="G200" s="1">
        <v>5</v>
      </c>
      <c r="H200" s="77">
        <v>6</v>
      </c>
      <c r="I200" s="160" t="s">
        <v>84</v>
      </c>
      <c r="J200" s="220"/>
      <c r="K200" s="220"/>
      <c r="L200" s="220"/>
      <c r="M200" s="220"/>
      <c r="N200" s="221"/>
    </row>
    <row r="201" spans="2:14" ht="16.5" thickBot="1" x14ac:dyDescent="0.3">
      <c r="B201" s="8" t="s">
        <v>10</v>
      </c>
      <c r="C201" s="14"/>
      <c r="D201" s="14"/>
      <c r="E201" s="14"/>
      <c r="F201" s="14"/>
      <c r="G201" s="14"/>
      <c r="H201" s="25"/>
      <c r="I201" s="222"/>
      <c r="J201" s="223"/>
      <c r="K201" s="223"/>
      <c r="L201" s="223"/>
      <c r="M201" s="223"/>
      <c r="N201" s="224"/>
    </row>
    <row r="202" spans="2:14" ht="16.5" thickBot="1" x14ac:dyDescent="0.3">
      <c r="B202" s="22" t="s">
        <v>12</v>
      </c>
      <c r="C202" s="73"/>
      <c r="D202" s="73"/>
      <c r="E202" s="73"/>
      <c r="F202" s="73"/>
      <c r="G202" s="73"/>
      <c r="H202" s="78"/>
      <c r="I202" s="225"/>
      <c r="J202" s="226"/>
      <c r="K202" s="226"/>
      <c r="L202" s="226"/>
      <c r="M202" s="226"/>
      <c r="N202" s="227"/>
    </row>
    <row r="204" spans="2:14" ht="15.75" thickBot="1" x14ac:dyDescent="0.3"/>
    <row r="205" spans="2:14" ht="15.75" x14ac:dyDescent="0.25">
      <c r="B205" s="2" t="s">
        <v>0</v>
      </c>
      <c r="C205" s="175" t="s">
        <v>59</v>
      </c>
      <c r="D205" s="176"/>
      <c r="E205" s="177" t="s">
        <v>1</v>
      </c>
      <c r="F205" s="178"/>
      <c r="G205" s="11">
        <v>100</v>
      </c>
      <c r="H205" s="179" t="s">
        <v>2</v>
      </c>
      <c r="I205" s="180"/>
      <c r="J205" s="181"/>
      <c r="K205" s="13">
        <v>100</v>
      </c>
      <c r="L205" s="3"/>
      <c r="M205" s="80" t="s">
        <v>11</v>
      </c>
      <c r="N205" s="76">
        <v>44282</v>
      </c>
    </row>
    <row r="206" spans="2:14" ht="15.75" x14ac:dyDescent="0.25">
      <c r="B206" s="4" t="s">
        <v>3</v>
      </c>
      <c r="C206" s="10">
        <v>5490</v>
      </c>
      <c r="D206" s="169" t="s">
        <v>57</v>
      </c>
      <c r="E206" s="170"/>
      <c r="F206" s="171"/>
      <c r="G206" s="18"/>
      <c r="H206" s="172" t="s">
        <v>4</v>
      </c>
      <c r="I206" s="173"/>
      <c r="J206" s="174"/>
      <c r="K206" s="10"/>
      <c r="L206" s="15"/>
      <c r="M206" s="15"/>
      <c r="N206" s="16"/>
    </row>
    <row r="207" spans="2:14" ht="15.75" x14ac:dyDescent="0.25">
      <c r="B207" s="4" t="s">
        <v>5</v>
      </c>
      <c r="C207" s="19"/>
      <c r="D207" s="169" t="s">
        <v>8</v>
      </c>
      <c r="E207" s="170"/>
      <c r="F207" s="171"/>
      <c r="G207" s="17"/>
      <c r="H207" s="172" t="s">
        <v>9</v>
      </c>
      <c r="I207" s="173"/>
      <c r="J207" s="174"/>
      <c r="K207" s="12"/>
      <c r="L207" s="172" t="s">
        <v>6</v>
      </c>
      <c r="M207" s="174"/>
      <c r="N207" s="20">
        <v>2.65</v>
      </c>
    </row>
    <row r="208" spans="2:14" ht="16.5" thickBot="1" x14ac:dyDescent="0.3">
      <c r="B208" s="5"/>
      <c r="C208" s="9"/>
      <c r="D208" s="9"/>
      <c r="E208" s="9"/>
      <c r="F208" s="9"/>
      <c r="G208" s="9"/>
      <c r="H208" s="79"/>
      <c r="I208" s="21"/>
      <c r="J208" s="21"/>
      <c r="K208" s="21"/>
      <c r="L208" s="21"/>
      <c r="M208" s="21"/>
      <c r="N208" s="6"/>
    </row>
    <row r="209" spans="2:14" ht="15.75" x14ac:dyDescent="0.25">
      <c r="B209" s="7" t="s">
        <v>7</v>
      </c>
      <c r="C209" s="1">
        <v>1</v>
      </c>
      <c r="D209" s="1">
        <v>2</v>
      </c>
      <c r="E209" s="1">
        <v>3</v>
      </c>
      <c r="F209" s="1">
        <v>4</v>
      </c>
      <c r="G209" s="1">
        <v>5</v>
      </c>
      <c r="H209" s="77">
        <v>6</v>
      </c>
      <c r="I209" s="160" t="s">
        <v>85</v>
      </c>
      <c r="J209" s="220"/>
      <c r="K209" s="220"/>
      <c r="L209" s="220"/>
      <c r="M209" s="220"/>
      <c r="N209" s="221"/>
    </row>
    <row r="210" spans="2:14" ht="16.5" thickBot="1" x14ac:dyDescent="0.3">
      <c r="B210" s="8" t="s">
        <v>10</v>
      </c>
      <c r="C210" s="14"/>
      <c r="D210" s="14"/>
      <c r="E210" s="14"/>
      <c r="F210" s="14"/>
      <c r="G210" s="14"/>
      <c r="H210" s="25"/>
      <c r="I210" s="222"/>
      <c r="J210" s="223"/>
      <c r="K210" s="223"/>
      <c r="L210" s="223"/>
      <c r="M210" s="223"/>
      <c r="N210" s="224"/>
    </row>
    <row r="211" spans="2:14" ht="16.5" thickBot="1" x14ac:dyDescent="0.3">
      <c r="B211" s="22" t="s">
        <v>12</v>
      </c>
      <c r="C211" s="73"/>
      <c r="D211" s="73"/>
      <c r="E211" s="73"/>
      <c r="F211" s="73"/>
      <c r="G211" s="73"/>
      <c r="H211" s="78"/>
      <c r="I211" s="225"/>
      <c r="J211" s="226"/>
      <c r="K211" s="226"/>
      <c r="L211" s="226"/>
      <c r="M211" s="226"/>
      <c r="N211" s="227"/>
    </row>
    <row r="213" spans="2:14" ht="15.75" thickBot="1" x14ac:dyDescent="0.3"/>
    <row r="214" spans="2:14" ht="15.75" x14ac:dyDescent="0.25">
      <c r="B214" s="2" t="s">
        <v>0</v>
      </c>
      <c r="C214" s="175" t="s">
        <v>59</v>
      </c>
      <c r="D214" s="176"/>
      <c r="E214" s="177" t="s">
        <v>1</v>
      </c>
      <c r="F214" s="178"/>
      <c r="G214" s="11">
        <v>100</v>
      </c>
      <c r="H214" s="179" t="s">
        <v>2</v>
      </c>
      <c r="I214" s="180"/>
      <c r="J214" s="181"/>
      <c r="K214" s="13">
        <v>100</v>
      </c>
      <c r="L214" s="3"/>
      <c r="M214" s="80" t="s">
        <v>11</v>
      </c>
      <c r="N214" s="76">
        <v>44290</v>
      </c>
    </row>
    <row r="215" spans="2:14" ht="15.75" x14ac:dyDescent="0.25">
      <c r="B215" s="4" t="s">
        <v>3</v>
      </c>
      <c r="C215" s="10">
        <v>5490</v>
      </c>
      <c r="D215" s="169" t="s">
        <v>57</v>
      </c>
      <c r="E215" s="170"/>
      <c r="F215" s="171"/>
      <c r="G215" s="18"/>
      <c r="H215" s="172" t="s">
        <v>4</v>
      </c>
      <c r="I215" s="173"/>
      <c r="J215" s="174"/>
      <c r="K215" s="10"/>
      <c r="L215" s="15"/>
      <c r="M215" s="15"/>
      <c r="N215" s="16"/>
    </row>
    <row r="216" spans="2:14" ht="15.75" x14ac:dyDescent="0.25">
      <c r="B216" s="4" t="s">
        <v>5</v>
      </c>
      <c r="C216" s="19"/>
      <c r="D216" s="169" t="s">
        <v>8</v>
      </c>
      <c r="E216" s="170"/>
      <c r="F216" s="171"/>
      <c r="G216" s="17"/>
      <c r="H216" s="172" t="s">
        <v>9</v>
      </c>
      <c r="I216" s="173"/>
      <c r="J216" s="174"/>
      <c r="K216" s="12"/>
      <c r="L216" s="172" t="s">
        <v>6</v>
      </c>
      <c r="M216" s="174"/>
      <c r="N216" s="20">
        <v>2.65</v>
      </c>
    </row>
    <row r="217" spans="2:14" ht="16.5" thickBot="1" x14ac:dyDescent="0.3">
      <c r="B217" s="5"/>
      <c r="C217" s="9"/>
      <c r="D217" s="9"/>
      <c r="E217" s="9"/>
      <c r="F217" s="9"/>
      <c r="G217" s="9"/>
      <c r="H217" s="79"/>
      <c r="I217" s="21"/>
      <c r="J217" s="21"/>
      <c r="K217" s="21"/>
      <c r="L217" s="21"/>
      <c r="M217" s="21"/>
      <c r="N217" s="6"/>
    </row>
    <row r="218" spans="2:14" ht="15.75" customHeight="1" x14ac:dyDescent="0.25">
      <c r="B218" s="7" t="s">
        <v>7</v>
      </c>
      <c r="C218" s="1">
        <v>1</v>
      </c>
      <c r="D218" s="1">
        <v>2</v>
      </c>
      <c r="E218" s="1">
        <v>3</v>
      </c>
      <c r="F218" s="1">
        <v>4</v>
      </c>
      <c r="G218" s="1">
        <v>5</v>
      </c>
      <c r="H218" s="77">
        <v>6</v>
      </c>
      <c r="I218" s="160" t="s">
        <v>86</v>
      </c>
      <c r="J218" s="220"/>
      <c r="K218" s="220"/>
      <c r="L218" s="220"/>
      <c r="M218" s="220"/>
      <c r="N218" s="221"/>
    </row>
    <row r="219" spans="2:14" ht="16.5" thickBot="1" x14ac:dyDescent="0.3">
      <c r="B219" s="8" t="s">
        <v>10</v>
      </c>
      <c r="C219" s="14"/>
      <c r="D219" s="14"/>
      <c r="E219" s="14"/>
      <c r="F219" s="14"/>
      <c r="G219" s="14"/>
      <c r="H219" s="25"/>
      <c r="I219" s="222"/>
      <c r="J219" s="223"/>
      <c r="K219" s="223"/>
      <c r="L219" s="223"/>
      <c r="M219" s="223"/>
      <c r="N219" s="224"/>
    </row>
    <row r="220" spans="2:14" ht="16.5" thickBot="1" x14ac:dyDescent="0.3">
      <c r="B220" s="22" t="s">
        <v>12</v>
      </c>
      <c r="C220" s="73"/>
      <c r="D220" s="73"/>
      <c r="E220" s="73"/>
      <c r="F220" s="73"/>
      <c r="G220" s="73"/>
      <c r="H220" s="78"/>
      <c r="I220" s="225"/>
      <c r="J220" s="226"/>
      <c r="K220" s="226"/>
      <c r="L220" s="226"/>
      <c r="M220" s="226"/>
      <c r="N220" s="227"/>
    </row>
    <row r="222" spans="2:14" ht="15.75" thickBot="1" x14ac:dyDescent="0.3"/>
    <row r="223" spans="2:14" ht="15.75" x14ac:dyDescent="0.25">
      <c r="B223" s="2" t="s">
        <v>0</v>
      </c>
      <c r="C223" s="175" t="s">
        <v>59</v>
      </c>
      <c r="D223" s="176"/>
      <c r="E223" s="177" t="s">
        <v>1</v>
      </c>
      <c r="F223" s="178"/>
      <c r="G223" s="11">
        <v>100</v>
      </c>
      <c r="H223" s="179" t="s">
        <v>2</v>
      </c>
      <c r="I223" s="180"/>
      <c r="J223" s="181"/>
      <c r="K223" s="13">
        <v>100</v>
      </c>
      <c r="L223" s="3"/>
      <c r="M223" s="80" t="s">
        <v>11</v>
      </c>
      <c r="N223" s="76">
        <v>44296</v>
      </c>
    </row>
    <row r="224" spans="2:14" ht="15.75" x14ac:dyDescent="0.25">
      <c r="B224" s="4" t="s">
        <v>3</v>
      </c>
      <c r="C224" s="10">
        <v>5490</v>
      </c>
      <c r="D224" s="169" t="s">
        <v>57</v>
      </c>
      <c r="E224" s="170"/>
      <c r="F224" s="171"/>
      <c r="G224" s="18"/>
      <c r="H224" s="172" t="s">
        <v>4</v>
      </c>
      <c r="I224" s="173"/>
      <c r="J224" s="174"/>
      <c r="K224" s="10"/>
      <c r="L224" s="15"/>
      <c r="M224" s="15"/>
      <c r="N224" s="16"/>
    </row>
    <row r="225" spans="2:14" ht="15.75" x14ac:dyDescent="0.25">
      <c r="B225" s="4" t="s">
        <v>5</v>
      </c>
      <c r="C225" s="19"/>
      <c r="D225" s="169" t="s">
        <v>8</v>
      </c>
      <c r="E225" s="170"/>
      <c r="F225" s="171"/>
      <c r="G225" s="17"/>
      <c r="H225" s="172" t="s">
        <v>9</v>
      </c>
      <c r="I225" s="173"/>
      <c r="J225" s="174"/>
      <c r="K225" s="12"/>
      <c r="L225" s="172" t="s">
        <v>6</v>
      </c>
      <c r="M225" s="174"/>
      <c r="N225" s="20"/>
    </row>
    <row r="226" spans="2:14" ht="16.5" thickBot="1" x14ac:dyDescent="0.3">
      <c r="B226" s="5"/>
      <c r="C226" s="9"/>
      <c r="D226" s="9"/>
      <c r="E226" s="9"/>
      <c r="F226" s="9"/>
      <c r="G226" s="9"/>
      <c r="H226" s="79"/>
      <c r="I226" s="21"/>
      <c r="J226" s="21"/>
      <c r="K226" s="21"/>
      <c r="L226" s="21"/>
      <c r="M226" s="21"/>
      <c r="N226" s="6"/>
    </row>
    <row r="227" spans="2:14" ht="15.75" x14ac:dyDescent="0.25">
      <c r="B227" s="7" t="s">
        <v>7</v>
      </c>
      <c r="C227" s="1">
        <v>1</v>
      </c>
      <c r="D227" s="1">
        <v>2</v>
      </c>
      <c r="E227" s="1">
        <v>3</v>
      </c>
      <c r="F227" s="1">
        <v>4</v>
      </c>
      <c r="G227" s="1">
        <v>5</v>
      </c>
      <c r="H227" s="77">
        <v>6</v>
      </c>
      <c r="I227" s="160" t="s">
        <v>87</v>
      </c>
      <c r="J227" s="220"/>
      <c r="K227" s="220"/>
      <c r="L227" s="220"/>
      <c r="M227" s="220"/>
      <c r="N227" s="221"/>
    </row>
    <row r="228" spans="2:14" ht="16.5" thickBot="1" x14ac:dyDescent="0.3">
      <c r="B228" s="8" t="s">
        <v>10</v>
      </c>
      <c r="C228" s="14"/>
      <c r="D228" s="14"/>
      <c r="E228" s="14"/>
      <c r="F228" s="14"/>
      <c r="G228" s="14"/>
      <c r="H228" s="25"/>
      <c r="I228" s="222"/>
      <c r="J228" s="223"/>
      <c r="K228" s="223"/>
      <c r="L228" s="223"/>
      <c r="M228" s="223"/>
      <c r="N228" s="224"/>
    </row>
    <row r="229" spans="2:14" ht="16.5" thickBot="1" x14ac:dyDescent="0.3">
      <c r="B229" s="22" t="s">
        <v>12</v>
      </c>
      <c r="C229" s="73"/>
      <c r="D229" s="73"/>
      <c r="E229" s="73"/>
      <c r="F229" s="73"/>
      <c r="G229" s="73"/>
      <c r="H229" s="78"/>
      <c r="I229" s="225"/>
      <c r="J229" s="226"/>
      <c r="K229" s="226"/>
      <c r="L229" s="226"/>
      <c r="M229" s="226"/>
      <c r="N229" s="227"/>
    </row>
    <row r="231" spans="2:14" ht="15.75" thickBot="1" x14ac:dyDescent="0.3"/>
    <row r="232" spans="2:14" ht="15.75" x14ac:dyDescent="0.25">
      <c r="B232" s="2" t="s">
        <v>0</v>
      </c>
      <c r="C232" s="175" t="s">
        <v>59</v>
      </c>
      <c r="D232" s="176"/>
      <c r="E232" s="177" t="s">
        <v>1</v>
      </c>
      <c r="F232" s="178"/>
      <c r="G232" s="11">
        <v>100</v>
      </c>
      <c r="H232" s="179" t="s">
        <v>2</v>
      </c>
      <c r="I232" s="180"/>
      <c r="J232" s="181"/>
      <c r="K232" s="13">
        <v>100</v>
      </c>
      <c r="L232" s="3"/>
      <c r="M232" s="80" t="s">
        <v>11</v>
      </c>
      <c r="N232" s="76">
        <v>44303</v>
      </c>
    </row>
    <row r="233" spans="2:14" ht="15.75" x14ac:dyDescent="0.25">
      <c r="B233" s="4" t="s">
        <v>3</v>
      </c>
      <c r="C233" s="10">
        <v>5543</v>
      </c>
      <c r="D233" s="169" t="s">
        <v>57</v>
      </c>
      <c r="E233" s="170"/>
      <c r="F233" s="171"/>
      <c r="G233" s="18">
        <v>2925</v>
      </c>
      <c r="H233" s="172" t="s">
        <v>4</v>
      </c>
      <c r="I233" s="173"/>
      <c r="J233" s="174"/>
      <c r="K233" s="10">
        <v>46</v>
      </c>
      <c r="L233" s="15"/>
      <c r="M233" s="15"/>
      <c r="N233" s="16"/>
    </row>
    <row r="234" spans="2:14" ht="15.75" x14ac:dyDescent="0.25">
      <c r="B234" s="4" t="s">
        <v>5</v>
      </c>
      <c r="C234" s="19">
        <v>42</v>
      </c>
      <c r="D234" s="169" t="s">
        <v>8</v>
      </c>
      <c r="E234" s="170"/>
      <c r="F234" s="171"/>
      <c r="G234" s="17">
        <v>0.36</v>
      </c>
      <c r="H234" s="172" t="s">
        <v>9</v>
      </c>
      <c r="I234" s="173"/>
      <c r="J234" s="174"/>
      <c r="K234" s="12">
        <v>0.91</v>
      </c>
      <c r="L234" s="172" t="s">
        <v>6</v>
      </c>
      <c r="M234" s="174"/>
      <c r="N234" s="20">
        <v>2.65</v>
      </c>
    </row>
    <row r="235" spans="2:14" ht="16.5" thickBot="1" x14ac:dyDescent="0.3">
      <c r="B235" s="5"/>
      <c r="C235" s="9"/>
      <c r="D235" s="9"/>
      <c r="E235" s="9"/>
      <c r="F235" s="9"/>
      <c r="G235" s="9"/>
      <c r="H235" s="79"/>
      <c r="I235" s="21"/>
      <c r="J235" s="21"/>
      <c r="K235" s="21"/>
      <c r="L235" s="21"/>
      <c r="M235" s="21"/>
      <c r="N235" s="6"/>
    </row>
    <row r="236" spans="2:14" ht="15.75" x14ac:dyDescent="0.25">
      <c r="B236" s="7" t="s">
        <v>7</v>
      </c>
      <c r="C236" s="1">
        <v>1</v>
      </c>
      <c r="D236" s="1">
        <v>2</v>
      </c>
      <c r="E236" s="1">
        <v>3</v>
      </c>
      <c r="F236" s="1">
        <v>4</v>
      </c>
      <c r="G236" s="1">
        <v>5</v>
      </c>
      <c r="H236" s="77">
        <v>6</v>
      </c>
      <c r="I236" s="160" t="s">
        <v>88</v>
      </c>
      <c r="J236" s="220"/>
      <c r="K236" s="220"/>
      <c r="L236" s="220"/>
      <c r="M236" s="220"/>
      <c r="N236" s="221"/>
    </row>
    <row r="237" spans="2:14" ht="16.5" thickBot="1" x14ac:dyDescent="0.3">
      <c r="B237" s="8" t="s">
        <v>10</v>
      </c>
      <c r="C237" s="14">
        <v>23</v>
      </c>
      <c r="D237" s="14">
        <v>22</v>
      </c>
      <c r="E237" s="14">
        <v>24</v>
      </c>
      <c r="F237" s="14">
        <v>22</v>
      </c>
      <c r="G237" s="14">
        <v>23</v>
      </c>
      <c r="H237" s="25">
        <v>24</v>
      </c>
      <c r="I237" s="222"/>
      <c r="J237" s="223"/>
      <c r="K237" s="223"/>
      <c r="L237" s="223"/>
      <c r="M237" s="223"/>
      <c r="N237" s="224"/>
    </row>
    <row r="238" spans="2:14" ht="16.5" thickBot="1" x14ac:dyDescent="0.3">
      <c r="B238" s="22" t="s">
        <v>12</v>
      </c>
      <c r="C238" s="73">
        <v>114</v>
      </c>
      <c r="D238" s="73">
        <v>103</v>
      </c>
      <c r="E238" s="73">
        <v>114</v>
      </c>
      <c r="F238" s="73">
        <v>109</v>
      </c>
      <c r="G238" s="73">
        <v>98</v>
      </c>
      <c r="H238" s="78">
        <v>106</v>
      </c>
      <c r="I238" s="225"/>
      <c r="J238" s="226"/>
      <c r="K238" s="226"/>
      <c r="L238" s="226"/>
      <c r="M238" s="226"/>
      <c r="N238" s="227"/>
    </row>
    <row r="241" spans="2:14" ht="15.75" thickBot="1" x14ac:dyDescent="0.3"/>
    <row r="242" spans="2:14" ht="15.75" x14ac:dyDescent="0.25">
      <c r="B242" s="2" t="s">
        <v>0</v>
      </c>
      <c r="C242" s="175" t="s">
        <v>59</v>
      </c>
      <c r="D242" s="176"/>
      <c r="E242" s="177" t="s">
        <v>1</v>
      </c>
      <c r="F242" s="178"/>
      <c r="G242" s="11">
        <v>100</v>
      </c>
      <c r="H242" s="179" t="s">
        <v>2</v>
      </c>
      <c r="I242" s="180"/>
      <c r="J242" s="181"/>
      <c r="K242" s="13">
        <v>100</v>
      </c>
      <c r="L242" s="3"/>
      <c r="M242" s="80" t="s">
        <v>11</v>
      </c>
      <c r="N242" s="76">
        <v>44310</v>
      </c>
    </row>
    <row r="243" spans="2:14" ht="15.75" x14ac:dyDescent="0.25">
      <c r="B243" s="4" t="s">
        <v>3</v>
      </c>
      <c r="C243" s="10">
        <v>5712</v>
      </c>
      <c r="D243" s="169" t="s">
        <v>57</v>
      </c>
      <c r="E243" s="170"/>
      <c r="F243" s="171"/>
      <c r="G243" s="18">
        <v>3186</v>
      </c>
      <c r="H243" s="172" t="s">
        <v>4</v>
      </c>
      <c r="I243" s="173"/>
      <c r="J243" s="174"/>
      <c r="K243" s="10">
        <v>46</v>
      </c>
      <c r="L243" s="15"/>
      <c r="M243" s="15"/>
      <c r="N243" s="16"/>
    </row>
    <row r="244" spans="2:14" ht="15.75" x14ac:dyDescent="0.25">
      <c r="B244" s="4" t="s">
        <v>5</v>
      </c>
      <c r="C244" s="19">
        <v>42</v>
      </c>
      <c r="D244" s="169" t="s">
        <v>8</v>
      </c>
      <c r="E244" s="170"/>
      <c r="F244" s="171"/>
      <c r="G244" s="17">
        <v>0.36</v>
      </c>
      <c r="H244" s="172" t="s">
        <v>9</v>
      </c>
      <c r="I244" s="173"/>
      <c r="J244" s="174"/>
      <c r="K244" s="12">
        <v>0.91</v>
      </c>
      <c r="L244" s="172" t="s">
        <v>6</v>
      </c>
      <c r="M244" s="174"/>
      <c r="N244" s="20">
        <v>2.65</v>
      </c>
    </row>
    <row r="245" spans="2:14" ht="16.5" thickBot="1" x14ac:dyDescent="0.3">
      <c r="B245" s="5"/>
      <c r="C245" s="9"/>
      <c r="D245" s="9"/>
      <c r="E245" s="9"/>
      <c r="F245" s="9"/>
      <c r="G245" s="9"/>
      <c r="H245" s="79"/>
      <c r="I245" s="21"/>
      <c r="J245" s="21"/>
      <c r="K245" s="21"/>
      <c r="L245" s="21"/>
      <c r="M245" s="21"/>
      <c r="N245" s="6"/>
    </row>
    <row r="246" spans="2:14" ht="15.75" x14ac:dyDescent="0.25">
      <c r="B246" s="7" t="s">
        <v>7</v>
      </c>
      <c r="C246" s="1">
        <v>1</v>
      </c>
      <c r="D246" s="1">
        <v>2</v>
      </c>
      <c r="E246" s="1">
        <v>3</v>
      </c>
      <c r="F246" s="1">
        <v>4</v>
      </c>
      <c r="G246" s="1">
        <v>5</v>
      </c>
      <c r="H246" s="77">
        <v>6</v>
      </c>
      <c r="I246" s="160" t="s">
        <v>89</v>
      </c>
      <c r="J246" s="220"/>
      <c r="K246" s="220"/>
      <c r="L246" s="220"/>
      <c r="M246" s="220"/>
      <c r="N246" s="221"/>
    </row>
    <row r="247" spans="2:14" ht="16.5" thickBot="1" x14ac:dyDescent="0.3">
      <c r="B247" s="8" t="s">
        <v>10</v>
      </c>
      <c r="C247" s="14">
        <v>28</v>
      </c>
      <c r="D247" s="14">
        <v>23</v>
      </c>
      <c r="E247" s="14">
        <v>22</v>
      </c>
      <c r="F247" s="14">
        <v>21</v>
      </c>
      <c r="G247" s="14">
        <v>21</v>
      </c>
      <c r="H247" s="25">
        <v>22</v>
      </c>
      <c r="I247" s="222"/>
      <c r="J247" s="223"/>
      <c r="K247" s="223"/>
      <c r="L247" s="223"/>
      <c r="M247" s="223"/>
      <c r="N247" s="224"/>
    </row>
    <row r="248" spans="2:14" ht="16.5" thickBot="1" x14ac:dyDescent="0.3">
      <c r="B248" s="22" t="s">
        <v>12</v>
      </c>
      <c r="C248" s="73">
        <v>108</v>
      </c>
      <c r="D248" s="73">
        <v>101</v>
      </c>
      <c r="E248" s="73">
        <v>98</v>
      </c>
      <c r="F248" s="73">
        <v>96</v>
      </c>
      <c r="G248" s="73">
        <v>103</v>
      </c>
      <c r="H248" s="78">
        <v>102</v>
      </c>
      <c r="I248" s="225"/>
      <c r="J248" s="226"/>
      <c r="K248" s="226"/>
      <c r="L248" s="226"/>
      <c r="M248" s="226"/>
      <c r="N248" s="227"/>
    </row>
    <row r="251" spans="2:14" ht="15.75" thickBot="1" x14ac:dyDescent="0.3"/>
    <row r="252" spans="2:14" ht="15.75" x14ac:dyDescent="0.25">
      <c r="B252" s="2" t="s">
        <v>0</v>
      </c>
      <c r="C252" s="175" t="s">
        <v>59</v>
      </c>
      <c r="D252" s="176"/>
      <c r="E252" s="177" t="s">
        <v>1</v>
      </c>
      <c r="F252" s="178"/>
      <c r="G252" s="11">
        <v>100</v>
      </c>
      <c r="H252" s="179" t="s">
        <v>2</v>
      </c>
      <c r="I252" s="180"/>
      <c r="J252" s="181"/>
      <c r="K252" s="13">
        <v>100</v>
      </c>
      <c r="L252" s="3"/>
      <c r="M252" s="80" t="s">
        <v>11</v>
      </c>
      <c r="N252" s="76">
        <v>44317</v>
      </c>
    </row>
    <row r="253" spans="2:14" ht="15.75" x14ac:dyDescent="0.25">
      <c r="B253" s="4" t="s">
        <v>3</v>
      </c>
      <c r="C253" s="10">
        <v>5848</v>
      </c>
      <c r="D253" s="169" t="s">
        <v>57</v>
      </c>
      <c r="E253" s="170"/>
      <c r="F253" s="171"/>
      <c r="G253" s="18">
        <v>3254</v>
      </c>
      <c r="H253" s="172" t="s">
        <v>4</v>
      </c>
      <c r="I253" s="173"/>
      <c r="J253" s="174"/>
      <c r="K253" s="10">
        <v>46</v>
      </c>
      <c r="L253" s="15"/>
      <c r="M253" s="15"/>
      <c r="N253" s="16"/>
    </row>
    <row r="254" spans="2:14" ht="15.75" x14ac:dyDescent="0.25">
      <c r="B254" s="4" t="s">
        <v>5</v>
      </c>
      <c r="C254" s="19">
        <v>42</v>
      </c>
      <c r="D254" s="169" t="s">
        <v>8</v>
      </c>
      <c r="E254" s="170"/>
      <c r="F254" s="171"/>
      <c r="G254" s="17">
        <v>0.36</v>
      </c>
      <c r="H254" s="172" t="s">
        <v>9</v>
      </c>
      <c r="I254" s="173"/>
      <c r="J254" s="174"/>
      <c r="K254" s="12">
        <v>0.91</v>
      </c>
      <c r="L254" s="172" t="s">
        <v>6</v>
      </c>
      <c r="M254" s="174"/>
      <c r="N254" s="20">
        <v>2.65</v>
      </c>
    </row>
    <row r="255" spans="2:14" ht="16.5" thickBot="1" x14ac:dyDescent="0.3">
      <c r="B255" s="5"/>
      <c r="C255" s="9"/>
      <c r="D255" s="9"/>
      <c r="E255" s="9"/>
      <c r="F255" s="9"/>
      <c r="G255" s="9"/>
      <c r="H255" s="79"/>
      <c r="I255" s="21"/>
      <c r="J255" s="21"/>
      <c r="K255" s="21"/>
      <c r="L255" s="21"/>
      <c r="M255" s="21"/>
      <c r="N255" s="6"/>
    </row>
    <row r="256" spans="2:14" ht="15.75" x14ac:dyDescent="0.25">
      <c r="B256" s="7" t="s">
        <v>7</v>
      </c>
      <c r="C256" s="1">
        <v>1</v>
      </c>
      <c r="D256" s="1">
        <v>2</v>
      </c>
      <c r="E256" s="1">
        <v>3</v>
      </c>
      <c r="F256" s="1">
        <v>4</v>
      </c>
      <c r="G256" s="1">
        <v>5</v>
      </c>
      <c r="H256" s="77">
        <v>6</v>
      </c>
      <c r="I256" s="160" t="s">
        <v>90</v>
      </c>
      <c r="J256" s="220"/>
      <c r="K256" s="220"/>
      <c r="L256" s="220"/>
      <c r="M256" s="220"/>
      <c r="N256" s="221"/>
    </row>
    <row r="257" spans="2:14" ht="16.5" thickBot="1" x14ac:dyDescent="0.3">
      <c r="B257" s="8" t="s">
        <v>10</v>
      </c>
      <c r="C257" s="14">
        <v>18</v>
      </c>
      <c r="D257" s="14">
        <v>17</v>
      </c>
      <c r="E257" s="14">
        <v>16</v>
      </c>
      <c r="F257" s="14">
        <v>17</v>
      </c>
      <c r="G257" s="14">
        <v>17</v>
      </c>
      <c r="H257" s="25">
        <v>17</v>
      </c>
      <c r="I257" s="222"/>
      <c r="J257" s="223"/>
      <c r="K257" s="223"/>
      <c r="L257" s="223"/>
      <c r="M257" s="223"/>
      <c r="N257" s="224"/>
    </row>
    <row r="258" spans="2:14" ht="16.5" thickBot="1" x14ac:dyDescent="0.3">
      <c r="B258" s="22" t="s">
        <v>12</v>
      </c>
      <c r="C258" s="73">
        <v>109</v>
      </c>
      <c r="D258" s="73">
        <v>97</v>
      </c>
      <c r="E258" s="73">
        <v>104</v>
      </c>
      <c r="F258" s="73">
        <v>111</v>
      </c>
      <c r="G258" s="73">
        <v>114</v>
      </c>
      <c r="H258" s="78">
        <v>108</v>
      </c>
      <c r="I258" s="225"/>
      <c r="J258" s="226"/>
      <c r="K258" s="226"/>
      <c r="L258" s="226"/>
      <c r="M258" s="226"/>
      <c r="N258" s="227"/>
    </row>
    <row r="260" spans="2:14" ht="15.75" thickBot="1" x14ac:dyDescent="0.3"/>
    <row r="261" spans="2:14" ht="15.75" x14ac:dyDescent="0.25">
      <c r="B261" s="2" t="s">
        <v>0</v>
      </c>
      <c r="C261" s="175" t="s">
        <v>59</v>
      </c>
      <c r="D261" s="176"/>
      <c r="E261" s="177" t="s">
        <v>1</v>
      </c>
      <c r="F261" s="178"/>
      <c r="G261" s="11">
        <v>100</v>
      </c>
      <c r="H261" s="179" t="s">
        <v>2</v>
      </c>
      <c r="I261" s="180"/>
      <c r="J261" s="181"/>
      <c r="K261" s="13">
        <v>100</v>
      </c>
      <c r="L261" s="3"/>
      <c r="M261" s="80" t="s">
        <v>11</v>
      </c>
      <c r="N261" s="76">
        <v>44324</v>
      </c>
    </row>
    <row r="262" spans="2:14" ht="15.75" x14ac:dyDescent="0.25">
      <c r="B262" s="4" t="s">
        <v>3</v>
      </c>
      <c r="C262" s="10">
        <v>6019</v>
      </c>
      <c r="D262" s="169" t="s">
        <v>57</v>
      </c>
      <c r="E262" s="170"/>
      <c r="F262" s="171"/>
      <c r="G262" s="18">
        <v>4501</v>
      </c>
      <c r="H262" s="172" t="s">
        <v>4</v>
      </c>
      <c r="I262" s="173"/>
      <c r="J262" s="174"/>
      <c r="K262" s="10">
        <v>51</v>
      </c>
      <c r="L262" s="15"/>
      <c r="M262" s="15"/>
      <c r="N262" s="16"/>
    </row>
    <row r="263" spans="2:14" ht="15.75" x14ac:dyDescent="0.25">
      <c r="B263" s="4" t="s">
        <v>5</v>
      </c>
      <c r="C263" s="19">
        <v>50</v>
      </c>
      <c r="D263" s="169" t="s">
        <v>8</v>
      </c>
      <c r="E263" s="170"/>
      <c r="F263" s="171"/>
      <c r="G263" s="17">
        <v>0.36</v>
      </c>
      <c r="H263" s="172" t="s">
        <v>9</v>
      </c>
      <c r="I263" s="173"/>
      <c r="J263" s="174"/>
      <c r="K263" s="12">
        <v>0.91</v>
      </c>
      <c r="L263" s="172" t="s">
        <v>6</v>
      </c>
      <c r="M263" s="174"/>
      <c r="N263" s="20">
        <v>2.65</v>
      </c>
    </row>
    <row r="264" spans="2:14" ht="16.5" thickBot="1" x14ac:dyDescent="0.3">
      <c r="B264" s="5"/>
      <c r="C264" s="9"/>
      <c r="D264" s="9"/>
      <c r="E264" s="9"/>
      <c r="F264" s="9"/>
      <c r="G264" s="9"/>
      <c r="H264" s="79"/>
      <c r="I264" s="21"/>
      <c r="J264" s="21"/>
      <c r="K264" s="21"/>
      <c r="L264" s="21"/>
      <c r="M264" s="21"/>
      <c r="N264" s="6"/>
    </row>
    <row r="265" spans="2:14" ht="15.75" x14ac:dyDescent="0.25">
      <c r="B265" s="7" t="s">
        <v>7</v>
      </c>
      <c r="C265" s="1">
        <v>1</v>
      </c>
      <c r="D265" s="1">
        <v>2</v>
      </c>
      <c r="E265" s="1">
        <v>3</v>
      </c>
      <c r="F265" s="1">
        <v>4</v>
      </c>
      <c r="G265" s="1">
        <v>5</v>
      </c>
      <c r="H265" s="77">
        <v>6</v>
      </c>
      <c r="I265" s="160" t="s">
        <v>91</v>
      </c>
      <c r="J265" s="220"/>
      <c r="K265" s="220"/>
      <c r="L265" s="220"/>
      <c r="M265" s="220"/>
      <c r="N265" s="221"/>
    </row>
    <row r="266" spans="2:14" ht="16.5" thickBot="1" x14ac:dyDescent="0.3">
      <c r="B266" s="8" t="s">
        <v>10</v>
      </c>
      <c r="C266" s="14">
        <v>17</v>
      </c>
      <c r="D266" s="14">
        <v>12</v>
      </c>
      <c r="E266" s="14">
        <v>14</v>
      </c>
      <c r="F266" s="14">
        <v>17</v>
      </c>
      <c r="G266" s="14">
        <v>15</v>
      </c>
      <c r="H266" s="25">
        <v>14</v>
      </c>
      <c r="I266" s="222"/>
      <c r="J266" s="223"/>
      <c r="K266" s="223"/>
      <c r="L266" s="223"/>
      <c r="M266" s="223"/>
      <c r="N266" s="224"/>
    </row>
    <row r="267" spans="2:14" ht="16.5" thickBot="1" x14ac:dyDescent="0.3">
      <c r="B267" s="22" t="s">
        <v>12</v>
      </c>
      <c r="C267" s="73">
        <v>126</v>
      </c>
      <c r="D267" s="73">
        <v>105</v>
      </c>
      <c r="E267" s="73">
        <v>131</v>
      </c>
      <c r="F267" s="73">
        <v>124</v>
      </c>
      <c r="G267" s="73">
        <v>117</v>
      </c>
      <c r="H267" s="78">
        <v>113</v>
      </c>
      <c r="I267" s="225"/>
      <c r="J267" s="226"/>
      <c r="K267" s="226"/>
      <c r="L267" s="226"/>
      <c r="M267" s="226"/>
      <c r="N267" s="227"/>
    </row>
    <row r="270" spans="2:14" ht="15.75" thickBot="1" x14ac:dyDescent="0.3"/>
    <row r="271" spans="2:14" ht="15.75" x14ac:dyDescent="0.25">
      <c r="B271" s="2" t="s">
        <v>0</v>
      </c>
      <c r="C271" s="175" t="s">
        <v>59</v>
      </c>
      <c r="D271" s="176"/>
      <c r="E271" s="177" t="s">
        <v>1</v>
      </c>
      <c r="F271" s="178"/>
      <c r="G271" s="11">
        <v>100</v>
      </c>
      <c r="H271" s="179" t="s">
        <v>2</v>
      </c>
      <c r="I271" s="180"/>
      <c r="J271" s="181"/>
      <c r="K271" s="13">
        <v>100</v>
      </c>
      <c r="L271" s="3"/>
      <c r="M271" s="80" t="s">
        <v>11</v>
      </c>
      <c r="N271" s="76">
        <v>44331</v>
      </c>
    </row>
    <row r="272" spans="2:14" ht="15.75" x14ac:dyDescent="0.25">
      <c r="B272" s="4" t="s">
        <v>3</v>
      </c>
      <c r="C272" s="10">
        <v>6184</v>
      </c>
      <c r="D272" s="169" t="s">
        <v>57</v>
      </c>
      <c r="E272" s="170"/>
      <c r="F272" s="171"/>
      <c r="G272" s="18">
        <v>2622</v>
      </c>
      <c r="H272" s="172" t="s">
        <v>4</v>
      </c>
      <c r="I272" s="173"/>
      <c r="J272" s="174"/>
      <c r="K272" s="10">
        <v>40</v>
      </c>
      <c r="L272" s="15"/>
      <c r="M272" s="15"/>
      <c r="N272" s="16"/>
    </row>
    <row r="273" spans="2:14" ht="15.75" x14ac:dyDescent="0.25">
      <c r="B273" s="4" t="s">
        <v>5</v>
      </c>
      <c r="C273" s="19">
        <v>37</v>
      </c>
      <c r="D273" s="169" t="s">
        <v>8</v>
      </c>
      <c r="E273" s="170"/>
      <c r="F273" s="171"/>
      <c r="G273" s="17">
        <v>0.36</v>
      </c>
      <c r="H273" s="172" t="s">
        <v>9</v>
      </c>
      <c r="I273" s="173"/>
      <c r="J273" s="174"/>
      <c r="K273" s="12">
        <v>1.18</v>
      </c>
      <c r="L273" s="172" t="s">
        <v>6</v>
      </c>
      <c r="M273" s="174"/>
      <c r="N273" s="20">
        <v>3.28</v>
      </c>
    </row>
    <row r="274" spans="2:14" ht="16.5" thickBot="1" x14ac:dyDescent="0.3">
      <c r="B274" s="5"/>
      <c r="C274" s="9"/>
      <c r="D274" s="9"/>
      <c r="E274" s="9"/>
      <c r="F274" s="9"/>
      <c r="G274" s="9"/>
      <c r="H274" s="79"/>
      <c r="I274" s="21"/>
      <c r="J274" s="21"/>
      <c r="K274" s="21"/>
      <c r="L274" s="21"/>
      <c r="M274" s="21"/>
      <c r="N274" s="6"/>
    </row>
    <row r="275" spans="2:14" ht="15.75" x14ac:dyDescent="0.25">
      <c r="B275" s="7" t="s">
        <v>7</v>
      </c>
      <c r="C275" s="1">
        <v>1</v>
      </c>
      <c r="D275" s="1">
        <v>2</v>
      </c>
      <c r="E275" s="1">
        <v>3</v>
      </c>
      <c r="F275" s="1">
        <v>4</v>
      </c>
      <c r="G275" s="1">
        <v>5</v>
      </c>
      <c r="H275" s="77">
        <v>6</v>
      </c>
      <c r="I275" s="160" t="s">
        <v>92</v>
      </c>
      <c r="J275" s="220"/>
      <c r="K275" s="220"/>
      <c r="L275" s="220"/>
      <c r="M275" s="220"/>
      <c r="N275" s="221"/>
    </row>
    <row r="276" spans="2:14" ht="16.5" thickBot="1" x14ac:dyDescent="0.3">
      <c r="B276" s="8" t="s">
        <v>10</v>
      </c>
      <c r="C276" s="14">
        <v>14</v>
      </c>
      <c r="D276" s="14">
        <v>11</v>
      </c>
      <c r="E276" s="14">
        <v>11</v>
      </c>
      <c r="F276" s="14">
        <v>12</v>
      </c>
      <c r="G276" s="14">
        <v>11</v>
      </c>
      <c r="H276" s="25">
        <v>12</v>
      </c>
      <c r="I276" s="222"/>
      <c r="J276" s="223"/>
      <c r="K276" s="223"/>
      <c r="L276" s="223"/>
      <c r="M276" s="223"/>
      <c r="N276" s="224"/>
    </row>
    <row r="277" spans="2:14" ht="16.5" thickBot="1" x14ac:dyDescent="0.3">
      <c r="B277" s="22" t="s">
        <v>12</v>
      </c>
      <c r="C277" s="73">
        <v>129</v>
      </c>
      <c r="D277" s="73">
        <v>121</v>
      </c>
      <c r="E277" s="73">
        <v>135</v>
      </c>
      <c r="F277" s="73">
        <v>132</v>
      </c>
      <c r="G277" s="73">
        <v>124</v>
      </c>
      <c r="H277" s="78">
        <v>131</v>
      </c>
      <c r="I277" s="225"/>
      <c r="J277" s="226"/>
      <c r="K277" s="226"/>
      <c r="L277" s="226"/>
      <c r="M277" s="226"/>
      <c r="N277" s="227"/>
    </row>
    <row r="278" spans="2:14" ht="15.75" thickBot="1" x14ac:dyDescent="0.3"/>
    <row r="279" spans="2:14" ht="15.75" x14ac:dyDescent="0.25">
      <c r="B279" s="2" t="s">
        <v>0</v>
      </c>
      <c r="C279" s="175" t="s">
        <v>59</v>
      </c>
      <c r="D279" s="176"/>
      <c r="E279" s="177" t="s">
        <v>1</v>
      </c>
      <c r="F279" s="178"/>
      <c r="G279" s="11">
        <v>100</v>
      </c>
      <c r="H279" s="179" t="s">
        <v>2</v>
      </c>
      <c r="I279" s="180"/>
      <c r="J279" s="181"/>
      <c r="K279" s="13">
        <v>100</v>
      </c>
      <c r="L279" s="3"/>
      <c r="M279" s="80" t="s">
        <v>11</v>
      </c>
      <c r="N279" s="76">
        <v>44335</v>
      </c>
    </row>
    <row r="280" spans="2:14" ht="15.75" x14ac:dyDescent="0.25">
      <c r="B280" s="4" t="s">
        <v>3</v>
      </c>
      <c r="C280" s="10">
        <v>6282</v>
      </c>
      <c r="D280" s="169" t="s">
        <v>57</v>
      </c>
      <c r="E280" s="170"/>
      <c r="F280" s="171"/>
      <c r="G280" s="18">
        <v>3817</v>
      </c>
      <c r="H280" s="172" t="s">
        <v>4</v>
      </c>
      <c r="I280" s="173"/>
      <c r="J280" s="174"/>
      <c r="K280" s="10">
        <v>47</v>
      </c>
      <c r="L280" s="15"/>
      <c r="M280" s="15"/>
      <c r="N280" s="16"/>
    </row>
    <row r="281" spans="2:14" ht="15.75" x14ac:dyDescent="0.25">
      <c r="B281" s="4" t="s">
        <v>5</v>
      </c>
      <c r="C281" s="19">
        <v>46</v>
      </c>
      <c r="D281" s="169" t="s">
        <v>8</v>
      </c>
      <c r="E281" s="170"/>
      <c r="F281" s="171"/>
      <c r="G281" s="17">
        <v>0.36</v>
      </c>
      <c r="H281" s="172" t="s">
        <v>9</v>
      </c>
      <c r="I281" s="173"/>
      <c r="J281" s="174"/>
      <c r="K281" s="12">
        <v>1.18</v>
      </c>
      <c r="L281" s="172" t="s">
        <v>6</v>
      </c>
      <c r="M281" s="174"/>
      <c r="N281" s="20">
        <v>3.28</v>
      </c>
    </row>
    <row r="282" spans="2:14" ht="16.5" thickBot="1" x14ac:dyDescent="0.3">
      <c r="B282" s="5"/>
      <c r="C282" s="9"/>
      <c r="D282" s="9"/>
      <c r="E282" s="9"/>
      <c r="F282" s="9"/>
      <c r="G282" s="9"/>
      <c r="H282" s="79"/>
      <c r="I282" s="21"/>
      <c r="J282" s="21"/>
      <c r="K282" s="21"/>
      <c r="L282" s="21"/>
      <c r="M282" s="21"/>
      <c r="N282" s="6"/>
    </row>
    <row r="283" spans="2:14" ht="15.75" x14ac:dyDescent="0.25">
      <c r="B283" s="7" t="s">
        <v>7</v>
      </c>
      <c r="C283" s="1">
        <v>1</v>
      </c>
      <c r="D283" s="1">
        <v>2</v>
      </c>
      <c r="E283" s="1">
        <v>3</v>
      </c>
      <c r="F283" s="1">
        <v>4</v>
      </c>
      <c r="G283" s="1">
        <v>5</v>
      </c>
      <c r="H283" s="77">
        <v>6</v>
      </c>
      <c r="I283" s="160" t="s">
        <v>93</v>
      </c>
      <c r="J283" s="220"/>
      <c r="K283" s="220"/>
      <c r="L283" s="220"/>
      <c r="M283" s="220"/>
      <c r="N283" s="221"/>
    </row>
    <row r="284" spans="2:14" ht="16.5" thickBot="1" x14ac:dyDescent="0.3">
      <c r="B284" s="8" t="s">
        <v>10</v>
      </c>
      <c r="C284" s="14">
        <v>22</v>
      </c>
      <c r="D284" s="14">
        <v>20</v>
      </c>
      <c r="E284" s="14">
        <v>20</v>
      </c>
      <c r="F284" s="14">
        <v>19</v>
      </c>
      <c r="G284" s="14">
        <v>20</v>
      </c>
      <c r="H284" s="25">
        <v>21</v>
      </c>
      <c r="I284" s="222"/>
      <c r="J284" s="223"/>
      <c r="K284" s="223"/>
      <c r="L284" s="223"/>
      <c r="M284" s="223"/>
      <c r="N284" s="224"/>
    </row>
    <row r="285" spans="2:14" ht="16.5" thickBot="1" x14ac:dyDescent="0.3">
      <c r="B285" s="22" t="s">
        <v>12</v>
      </c>
      <c r="C285" s="73">
        <v>114</v>
      </c>
      <c r="D285" s="73">
        <v>103</v>
      </c>
      <c r="E285" s="73">
        <v>114</v>
      </c>
      <c r="F285" s="73">
        <v>109</v>
      </c>
      <c r="G285" s="73">
        <v>98</v>
      </c>
      <c r="H285" s="78">
        <v>106</v>
      </c>
      <c r="I285" s="225"/>
      <c r="J285" s="226"/>
      <c r="K285" s="226"/>
      <c r="L285" s="226"/>
      <c r="M285" s="226"/>
      <c r="N285" s="227"/>
    </row>
    <row r="287" spans="2:14" ht="15.75" thickBot="1" x14ac:dyDescent="0.3"/>
    <row r="288" spans="2:14" ht="15.75" x14ac:dyDescent="0.25">
      <c r="B288" s="2" t="s">
        <v>0</v>
      </c>
      <c r="C288" s="175" t="s">
        <v>59</v>
      </c>
      <c r="D288" s="176"/>
      <c r="E288" s="177" t="s">
        <v>1</v>
      </c>
      <c r="F288" s="178"/>
      <c r="G288" s="11">
        <v>100</v>
      </c>
      <c r="H288" s="179" t="s">
        <v>2</v>
      </c>
      <c r="I288" s="180"/>
      <c r="J288" s="181"/>
      <c r="K288" s="13">
        <v>100</v>
      </c>
      <c r="L288" s="3"/>
      <c r="M288" s="80" t="s">
        <v>11</v>
      </c>
      <c r="N288" s="76">
        <v>44345</v>
      </c>
    </row>
    <row r="289" spans="2:14" ht="15.75" x14ac:dyDescent="0.25">
      <c r="B289" s="4" t="s">
        <v>3</v>
      </c>
      <c r="C289" s="10">
        <v>6398</v>
      </c>
      <c r="D289" s="169" t="s">
        <v>57</v>
      </c>
      <c r="E289" s="170"/>
      <c r="F289" s="171"/>
      <c r="G289" s="18"/>
      <c r="H289" s="172" t="s">
        <v>4</v>
      </c>
      <c r="I289" s="173"/>
      <c r="J289" s="174"/>
      <c r="K289" s="10"/>
      <c r="L289" s="15"/>
      <c r="M289" s="15"/>
      <c r="N289" s="16"/>
    </row>
    <row r="290" spans="2:14" ht="15.75" x14ac:dyDescent="0.25">
      <c r="B290" s="4" t="s">
        <v>5</v>
      </c>
      <c r="C290" s="19"/>
      <c r="D290" s="169" t="s">
        <v>8</v>
      </c>
      <c r="E290" s="170"/>
      <c r="F290" s="171"/>
      <c r="G290" s="17">
        <v>0.36</v>
      </c>
      <c r="H290" s="172" t="s">
        <v>9</v>
      </c>
      <c r="I290" s="173"/>
      <c r="J290" s="174"/>
      <c r="K290" s="12">
        <v>1.18</v>
      </c>
      <c r="L290" s="172" t="s">
        <v>6</v>
      </c>
      <c r="M290" s="174"/>
      <c r="N290" s="20">
        <v>3.28</v>
      </c>
    </row>
    <row r="291" spans="2:14" ht="16.5" thickBot="1" x14ac:dyDescent="0.3">
      <c r="B291" s="5"/>
      <c r="C291" s="9"/>
      <c r="D291" s="9"/>
      <c r="E291" s="9"/>
      <c r="F291" s="9"/>
      <c r="G291" s="9"/>
      <c r="H291" s="79"/>
      <c r="I291" s="21"/>
      <c r="J291" s="21"/>
      <c r="K291" s="21"/>
      <c r="L291" s="21"/>
      <c r="M291" s="21"/>
      <c r="N291" s="6"/>
    </row>
    <row r="292" spans="2:14" ht="15.75" x14ac:dyDescent="0.25">
      <c r="B292" s="7" t="s">
        <v>7</v>
      </c>
      <c r="C292" s="1">
        <v>1</v>
      </c>
      <c r="D292" s="1">
        <v>2</v>
      </c>
      <c r="E292" s="1">
        <v>3</v>
      </c>
      <c r="F292" s="1">
        <v>4</v>
      </c>
      <c r="G292" s="1">
        <v>5</v>
      </c>
      <c r="H292" s="77">
        <v>6</v>
      </c>
      <c r="I292" s="160" t="s">
        <v>94</v>
      </c>
      <c r="J292" s="220"/>
      <c r="K292" s="220"/>
      <c r="L292" s="220"/>
      <c r="M292" s="220"/>
      <c r="N292" s="221"/>
    </row>
    <row r="293" spans="2:14" ht="16.5" thickBot="1" x14ac:dyDescent="0.3">
      <c r="B293" s="8" t="s">
        <v>10</v>
      </c>
      <c r="C293" s="14"/>
      <c r="D293" s="14"/>
      <c r="E293" s="14"/>
      <c r="F293" s="14"/>
      <c r="G293" s="14"/>
      <c r="H293" s="25"/>
      <c r="I293" s="222"/>
      <c r="J293" s="223"/>
      <c r="K293" s="223"/>
      <c r="L293" s="223"/>
      <c r="M293" s="223"/>
      <c r="N293" s="224"/>
    </row>
    <row r="294" spans="2:14" ht="16.5" thickBot="1" x14ac:dyDescent="0.3">
      <c r="B294" s="22" t="s">
        <v>12</v>
      </c>
      <c r="C294" s="73"/>
      <c r="D294" s="73"/>
      <c r="E294" s="73"/>
      <c r="F294" s="73"/>
      <c r="G294" s="73"/>
      <c r="H294" s="78"/>
      <c r="I294" s="225"/>
      <c r="J294" s="226"/>
      <c r="K294" s="226"/>
      <c r="L294" s="226"/>
      <c r="M294" s="226"/>
      <c r="N294" s="227"/>
    </row>
    <row r="296" spans="2:14" ht="15.75" thickBot="1" x14ac:dyDescent="0.3"/>
    <row r="297" spans="2:14" ht="15.75" x14ac:dyDescent="0.25">
      <c r="B297" s="2" t="s">
        <v>0</v>
      </c>
      <c r="C297" s="175" t="s">
        <v>59</v>
      </c>
      <c r="D297" s="176"/>
      <c r="E297" s="177" t="s">
        <v>1</v>
      </c>
      <c r="F297" s="178"/>
      <c r="G297" s="11">
        <v>100</v>
      </c>
      <c r="H297" s="179" t="s">
        <v>2</v>
      </c>
      <c r="I297" s="180"/>
      <c r="J297" s="181"/>
      <c r="K297" s="13">
        <v>100</v>
      </c>
      <c r="L297" s="3"/>
      <c r="M297" s="80" t="s">
        <v>11</v>
      </c>
      <c r="N297" s="76">
        <v>44349</v>
      </c>
    </row>
    <row r="298" spans="2:14" ht="15.75" x14ac:dyDescent="0.25">
      <c r="B298" s="4" t="s">
        <v>3</v>
      </c>
      <c r="C298" s="10">
        <v>6449</v>
      </c>
      <c r="D298" s="169" t="s">
        <v>57</v>
      </c>
      <c r="E298" s="170"/>
      <c r="F298" s="171"/>
      <c r="G298" s="18">
        <v>3591</v>
      </c>
      <c r="H298" s="172" t="s">
        <v>4</v>
      </c>
      <c r="I298" s="173"/>
      <c r="J298" s="174"/>
      <c r="K298" s="10">
        <v>47</v>
      </c>
      <c r="L298" s="15"/>
      <c r="M298" s="15"/>
      <c r="N298" s="16"/>
    </row>
    <row r="299" spans="2:14" ht="15.75" x14ac:dyDescent="0.25">
      <c r="B299" s="4" t="s">
        <v>5</v>
      </c>
      <c r="C299" s="19">
        <v>43</v>
      </c>
      <c r="D299" s="169" t="s">
        <v>8</v>
      </c>
      <c r="E299" s="170"/>
      <c r="F299" s="171"/>
      <c r="G299" s="17">
        <v>0.36</v>
      </c>
      <c r="H299" s="172" t="s">
        <v>9</v>
      </c>
      <c r="I299" s="173"/>
      <c r="J299" s="174"/>
      <c r="K299" s="12">
        <v>1.18</v>
      </c>
      <c r="L299" s="172" t="s">
        <v>6</v>
      </c>
      <c r="M299" s="174"/>
      <c r="N299" s="20">
        <v>3.28</v>
      </c>
    </row>
    <row r="300" spans="2:14" ht="16.5" thickBot="1" x14ac:dyDescent="0.3">
      <c r="B300" s="5"/>
      <c r="C300" s="9"/>
      <c r="D300" s="9"/>
      <c r="E300" s="9"/>
      <c r="F300" s="9"/>
      <c r="G300" s="9"/>
      <c r="H300" s="79"/>
      <c r="I300" s="21"/>
      <c r="J300" s="21"/>
      <c r="K300" s="21"/>
      <c r="L300" s="21"/>
      <c r="M300" s="21"/>
      <c r="N300" s="6"/>
    </row>
    <row r="301" spans="2:14" ht="15.75" x14ac:dyDescent="0.25">
      <c r="B301" s="7" t="s">
        <v>7</v>
      </c>
      <c r="C301" s="1">
        <v>1</v>
      </c>
      <c r="D301" s="1">
        <v>2</v>
      </c>
      <c r="E301" s="1">
        <v>3</v>
      </c>
      <c r="F301" s="1">
        <v>4</v>
      </c>
      <c r="G301" s="1">
        <v>5</v>
      </c>
      <c r="H301" s="77">
        <v>6</v>
      </c>
      <c r="I301" s="160" t="s">
        <v>95</v>
      </c>
      <c r="J301" s="220"/>
      <c r="K301" s="220"/>
      <c r="L301" s="220"/>
      <c r="M301" s="220"/>
      <c r="N301" s="221"/>
    </row>
    <row r="302" spans="2:14" ht="16.5" thickBot="1" x14ac:dyDescent="0.3">
      <c r="B302" s="8" t="s">
        <v>10</v>
      </c>
      <c r="C302" s="14">
        <v>39</v>
      </c>
      <c r="D302" s="14">
        <v>35</v>
      </c>
      <c r="E302" s="14">
        <v>38</v>
      </c>
      <c r="F302" s="14">
        <v>37</v>
      </c>
      <c r="G302" s="14">
        <v>35</v>
      </c>
      <c r="H302" s="25">
        <v>37</v>
      </c>
      <c r="I302" s="222"/>
      <c r="J302" s="223"/>
      <c r="K302" s="223"/>
      <c r="L302" s="223"/>
      <c r="M302" s="223"/>
      <c r="N302" s="224"/>
    </row>
    <row r="303" spans="2:14" ht="16.5" thickBot="1" x14ac:dyDescent="0.3">
      <c r="B303" s="22" t="s">
        <v>12</v>
      </c>
      <c r="C303" s="73">
        <v>78</v>
      </c>
      <c r="D303" s="73">
        <v>52</v>
      </c>
      <c r="E303" s="73">
        <v>55</v>
      </c>
      <c r="F303" s="73">
        <v>48</v>
      </c>
      <c r="G303" s="73">
        <v>60</v>
      </c>
      <c r="H303" s="78">
        <v>73</v>
      </c>
      <c r="I303" s="225"/>
      <c r="J303" s="226"/>
      <c r="K303" s="226"/>
      <c r="L303" s="226"/>
      <c r="M303" s="226"/>
      <c r="N303" s="227"/>
    </row>
    <row r="304" spans="2:14" ht="15.75" thickBot="1" x14ac:dyDescent="0.3"/>
    <row r="305" spans="2:14" ht="15.75" x14ac:dyDescent="0.25">
      <c r="B305" s="2" t="s">
        <v>0</v>
      </c>
      <c r="C305" s="175" t="s">
        <v>59</v>
      </c>
      <c r="D305" s="176"/>
      <c r="E305" s="177" t="s">
        <v>1</v>
      </c>
      <c r="F305" s="178"/>
      <c r="G305" s="11">
        <v>100</v>
      </c>
      <c r="H305" s="179" t="s">
        <v>2</v>
      </c>
      <c r="I305" s="180"/>
      <c r="J305" s="181"/>
      <c r="K305" s="13">
        <v>100</v>
      </c>
      <c r="L305" s="3"/>
      <c r="M305" s="80" t="s">
        <v>11</v>
      </c>
      <c r="N305" s="76">
        <v>44360</v>
      </c>
    </row>
    <row r="306" spans="2:14" ht="15.75" x14ac:dyDescent="0.25">
      <c r="B306" s="4" t="s">
        <v>3</v>
      </c>
      <c r="C306" s="10">
        <v>6449</v>
      </c>
      <c r="D306" s="169" t="s">
        <v>57</v>
      </c>
      <c r="E306" s="170"/>
      <c r="F306" s="171"/>
      <c r="G306" s="18"/>
      <c r="H306" s="172" t="s">
        <v>4</v>
      </c>
      <c r="I306" s="173"/>
      <c r="J306" s="174"/>
      <c r="K306" s="10">
        <v>47</v>
      </c>
      <c r="L306" s="15"/>
      <c r="M306" s="15"/>
      <c r="N306" s="16"/>
    </row>
    <row r="307" spans="2:14" ht="15.75" x14ac:dyDescent="0.25">
      <c r="B307" s="4" t="s">
        <v>5</v>
      </c>
      <c r="C307" s="19"/>
      <c r="D307" s="169" t="s">
        <v>8</v>
      </c>
      <c r="E307" s="170"/>
      <c r="F307" s="171"/>
      <c r="G307" s="17">
        <v>0.28000000000000003</v>
      </c>
      <c r="H307" s="172" t="s">
        <v>9</v>
      </c>
      <c r="I307" s="173"/>
      <c r="J307" s="174"/>
      <c r="K307" s="12">
        <v>0.9</v>
      </c>
      <c r="L307" s="172" t="s">
        <v>6</v>
      </c>
      <c r="M307" s="174"/>
      <c r="N307" s="20">
        <v>3.28</v>
      </c>
    </row>
    <row r="308" spans="2:14" ht="16.5" thickBot="1" x14ac:dyDescent="0.3">
      <c r="B308" s="5"/>
      <c r="C308" s="9"/>
      <c r="D308" s="9"/>
      <c r="E308" s="9"/>
      <c r="F308" s="9"/>
      <c r="G308" s="9"/>
      <c r="H308" s="79"/>
      <c r="I308" s="21"/>
      <c r="J308" s="21"/>
      <c r="K308" s="21"/>
      <c r="L308" s="21"/>
      <c r="M308" s="21"/>
      <c r="N308" s="6"/>
    </row>
    <row r="309" spans="2:14" ht="15.75" x14ac:dyDescent="0.25">
      <c r="B309" s="7" t="s">
        <v>7</v>
      </c>
      <c r="C309" s="1">
        <v>1</v>
      </c>
      <c r="D309" s="1">
        <v>2</v>
      </c>
      <c r="E309" s="1">
        <v>3</v>
      </c>
      <c r="F309" s="1">
        <v>4</v>
      </c>
      <c r="G309" s="1">
        <v>5</v>
      </c>
      <c r="H309" s="77">
        <v>6</v>
      </c>
      <c r="I309" s="160" t="s">
        <v>96</v>
      </c>
      <c r="J309" s="220"/>
      <c r="K309" s="220"/>
      <c r="L309" s="220"/>
      <c r="M309" s="220"/>
      <c r="N309" s="221"/>
    </row>
    <row r="310" spans="2:14" ht="16.5" thickBot="1" x14ac:dyDescent="0.3">
      <c r="B310" s="8" t="s">
        <v>10</v>
      </c>
      <c r="C310" s="14"/>
      <c r="D310" s="14"/>
      <c r="E310" s="14"/>
      <c r="F310" s="14"/>
      <c r="G310" s="14"/>
      <c r="H310" s="25"/>
      <c r="I310" s="222"/>
      <c r="J310" s="223"/>
      <c r="K310" s="223"/>
      <c r="L310" s="223"/>
      <c r="M310" s="223"/>
      <c r="N310" s="224"/>
    </row>
    <row r="311" spans="2:14" ht="16.5" thickBot="1" x14ac:dyDescent="0.3">
      <c r="B311" s="22" t="s">
        <v>12</v>
      </c>
      <c r="C311" s="73"/>
      <c r="D311" s="73"/>
      <c r="E311" s="73"/>
      <c r="F311" s="73"/>
      <c r="G311" s="73"/>
      <c r="H311" s="78"/>
      <c r="I311" s="225"/>
      <c r="J311" s="226"/>
      <c r="K311" s="226"/>
      <c r="L311" s="226"/>
      <c r="M311" s="226"/>
      <c r="N311" s="227"/>
    </row>
    <row r="313" spans="2:14" ht="15.75" thickBot="1" x14ac:dyDescent="0.3"/>
    <row r="314" spans="2:14" ht="15.75" x14ac:dyDescent="0.25">
      <c r="B314" s="2" t="s">
        <v>0</v>
      </c>
      <c r="C314" s="175" t="s">
        <v>59</v>
      </c>
      <c r="D314" s="176"/>
      <c r="E314" s="177" t="s">
        <v>1</v>
      </c>
      <c r="F314" s="178"/>
      <c r="G314" s="11">
        <v>100</v>
      </c>
      <c r="H314" s="179" t="s">
        <v>2</v>
      </c>
      <c r="I314" s="180"/>
      <c r="J314" s="181"/>
      <c r="K314" s="13">
        <v>100</v>
      </c>
      <c r="L314" s="3"/>
      <c r="M314" s="80" t="s">
        <v>11</v>
      </c>
      <c r="N314" s="76">
        <v>44362</v>
      </c>
    </row>
    <row r="315" spans="2:14" ht="15.75" x14ac:dyDescent="0.25">
      <c r="B315" s="4" t="s">
        <v>3</v>
      </c>
      <c r="C315" s="10">
        <v>6517</v>
      </c>
      <c r="D315" s="169" t="s">
        <v>57</v>
      </c>
      <c r="E315" s="170"/>
      <c r="F315" s="171"/>
      <c r="G315" s="18">
        <v>9327</v>
      </c>
      <c r="H315" s="172" t="s">
        <v>4</v>
      </c>
      <c r="I315" s="173"/>
      <c r="J315" s="174"/>
      <c r="K315" s="10">
        <v>63</v>
      </c>
      <c r="L315" s="15"/>
      <c r="M315" s="15"/>
      <c r="N315" s="16"/>
    </row>
    <row r="316" spans="2:14" ht="15.75" x14ac:dyDescent="0.25">
      <c r="B316" s="4" t="s">
        <v>5</v>
      </c>
      <c r="C316" s="19">
        <v>75</v>
      </c>
      <c r="D316" s="169" t="s">
        <v>8</v>
      </c>
      <c r="E316" s="170"/>
      <c r="F316" s="171"/>
      <c r="G316" s="17">
        <v>0.28000000000000003</v>
      </c>
      <c r="H316" s="172" t="s">
        <v>9</v>
      </c>
      <c r="I316" s="173"/>
      <c r="J316" s="174"/>
      <c r="K316" s="12">
        <v>0.9</v>
      </c>
      <c r="L316" s="172" t="s">
        <v>6</v>
      </c>
      <c r="M316" s="174"/>
      <c r="N316" s="20">
        <v>3.28</v>
      </c>
    </row>
    <row r="317" spans="2:14" ht="16.5" thickBot="1" x14ac:dyDescent="0.3">
      <c r="B317" s="5"/>
      <c r="C317" s="9"/>
      <c r="D317" s="9"/>
      <c r="E317" s="9"/>
      <c r="F317" s="9"/>
      <c r="G317" s="9"/>
      <c r="H317" s="79"/>
      <c r="I317" s="21"/>
      <c r="J317" s="21"/>
      <c r="K317" s="21"/>
      <c r="L317" s="21"/>
      <c r="M317" s="21"/>
      <c r="N317" s="6"/>
    </row>
    <row r="318" spans="2:14" ht="15.75" x14ac:dyDescent="0.25">
      <c r="B318" s="7" t="s">
        <v>7</v>
      </c>
      <c r="C318" s="1">
        <v>1</v>
      </c>
      <c r="D318" s="1">
        <v>2</v>
      </c>
      <c r="E318" s="1">
        <v>3</v>
      </c>
      <c r="F318" s="1">
        <v>4</v>
      </c>
      <c r="G318" s="1">
        <v>5</v>
      </c>
      <c r="H318" s="77">
        <v>6</v>
      </c>
      <c r="I318" s="160" t="s">
        <v>97</v>
      </c>
      <c r="J318" s="220"/>
      <c r="K318" s="220"/>
      <c r="L318" s="220"/>
      <c r="M318" s="220"/>
      <c r="N318" s="221"/>
    </row>
    <row r="319" spans="2:14" ht="16.5" thickBot="1" x14ac:dyDescent="0.3">
      <c r="B319" s="8" t="s">
        <v>10</v>
      </c>
      <c r="C319" s="14">
        <v>12</v>
      </c>
      <c r="D319" s="14">
        <v>11</v>
      </c>
      <c r="E319" s="14">
        <v>11</v>
      </c>
      <c r="F319" s="14">
        <v>12</v>
      </c>
      <c r="G319" s="14">
        <v>10</v>
      </c>
      <c r="H319" s="25">
        <v>11</v>
      </c>
      <c r="I319" s="222"/>
      <c r="J319" s="223"/>
      <c r="K319" s="223"/>
      <c r="L319" s="223"/>
      <c r="M319" s="223"/>
      <c r="N319" s="224"/>
    </row>
    <row r="320" spans="2:14" ht="16.5" thickBot="1" x14ac:dyDescent="0.3">
      <c r="B320" s="22" t="s">
        <v>12</v>
      </c>
      <c r="C320" s="73">
        <v>206</v>
      </c>
      <c r="D320" s="73">
        <v>186</v>
      </c>
      <c r="E320" s="73">
        <v>182</v>
      </c>
      <c r="F320" s="73">
        <v>189</v>
      </c>
      <c r="G320" s="73">
        <v>194</v>
      </c>
      <c r="H320" s="78">
        <v>192</v>
      </c>
      <c r="I320" s="225"/>
      <c r="J320" s="226"/>
      <c r="K320" s="226"/>
      <c r="L320" s="226"/>
      <c r="M320" s="226"/>
      <c r="N320" s="227"/>
    </row>
    <row r="322" spans="2:14" ht="15.75" thickBot="1" x14ac:dyDescent="0.3"/>
    <row r="323" spans="2:14" ht="15.75" x14ac:dyDescent="0.25">
      <c r="B323" s="2" t="s">
        <v>0</v>
      </c>
      <c r="C323" s="175" t="s">
        <v>59</v>
      </c>
      <c r="D323" s="176"/>
      <c r="E323" s="177" t="s">
        <v>1</v>
      </c>
      <c r="F323" s="178"/>
      <c r="G323" s="11">
        <v>100</v>
      </c>
      <c r="H323" s="179" t="s">
        <v>2</v>
      </c>
      <c r="I323" s="180"/>
      <c r="J323" s="181"/>
      <c r="K323" s="13">
        <v>100</v>
      </c>
      <c r="L323" s="3"/>
      <c r="M323" s="80" t="s">
        <v>11</v>
      </c>
      <c r="N323" s="76">
        <v>44362</v>
      </c>
    </row>
    <row r="324" spans="2:14" ht="15.75" x14ac:dyDescent="0.25">
      <c r="B324" s="4" t="s">
        <v>3</v>
      </c>
      <c r="C324" s="10">
        <v>6515</v>
      </c>
      <c r="D324" s="169" t="s">
        <v>57</v>
      </c>
      <c r="E324" s="170"/>
      <c r="F324" s="171"/>
      <c r="G324" s="18">
        <v>7013</v>
      </c>
      <c r="H324" s="172" t="s">
        <v>4</v>
      </c>
      <c r="I324" s="173"/>
      <c r="J324" s="174"/>
      <c r="K324" s="10">
        <v>58</v>
      </c>
      <c r="L324" s="15"/>
      <c r="M324" s="15"/>
      <c r="N324" s="16"/>
    </row>
    <row r="325" spans="2:14" ht="15.75" x14ac:dyDescent="0.25">
      <c r="B325" s="4" t="s">
        <v>5</v>
      </c>
      <c r="C325" s="19">
        <v>63</v>
      </c>
      <c r="D325" s="169" t="s">
        <v>8</v>
      </c>
      <c r="E325" s="170"/>
      <c r="F325" s="171"/>
      <c r="G325" s="17">
        <v>0.28000000000000003</v>
      </c>
      <c r="H325" s="172" t="s">
        <v>9</v>
      </c>
      <c r="I325" s="173"/>
      <c r="J325" s="174"/>
      <c r="K325" s="12">
        <v>0.9</v>
      </c>
      <c r="L325" s="172" t="s">
        <v>6</v>
      </c>
      <c r="M325" s="174"/>
      <c r="N325" s="20">
        <v>3.28</v>
      </c>
    </row>
    <row r="326" spans="2:14" ht="16.5" thickBot="1" x14ac:dyDescent="0.3">
      <c r="B326" s="5"/>
      <c r="C326" s="9"/>
      <c r="D326" s="9"/>
      <c r="E326" s="9"/>
      <c r="F326" s="9"/>
      <c r="G326" s="9"/>
      <c r="H326" s="79"/>
      <c r="I326" s="21"/>
      <c r="J326" s="21"/>
      <c r="K326" s="21"/>
      <c r="L326" s="21"/>
      <c r="M326" s="21"/>
      <c r="N326" s="6"/>
    </row>
    <row r="327" spans="2:14" ht="15.75" x14ac:dyDescent="0.25">
      <c r="B327" s="7" t="s">
        <v>7</v>
      </c>
      <c r="C327" s="1">
        <v>1</v>
      </c>
      <c r="D327" s="1">
        <v>2</v>
      </c>
      <c r="E327" s="1">
        <v>3</v>
      </c>
      <c r="F327" s="1">
        <v>4</v>
      </c>
      <c r="G327" s="1">
        <v>5</v>
      </c>
      <c r="H327" s="77">
        <v>6</v>
      </c>
      <c r="I327" s="160" t="s">
        <v>98</v>
      </c>
      <c r="J327" s="220"/>
      <c r="K327" s="220"/>
      <c r="L327" s="220"/>
      <c r="M327" s="220"/>
      <c r="N327" s="221"/>
    </row>
    <row r="328" spans="2:14" ht="16.5" thickBot="1" x14ac:dyDescent="0.3">
      <c r="B328" s="8" t="s">
        <v>10</v>
      </c>
      <c r="C328" s="14">
        <v>14</v>
      </c>
      <c r="D328" s="14">
        <v>13</v>
      </c>
      <c r="E328" s="14">
        <v>13</v>
      </c>
      <c r="F328" s="14">
        <v>15</v>
      </c>
      <c r="G328" s="14">
        <v>12</v>
      </c>
      <c r="H328" s="25">
        <v>13</v>
      </c>
      <c r="I328" s="222"/>
      <c r="J328" s="223"/>
      <c r="K328" s="223"/>
      <c r="L328" s="223"/>
      <c r="M328" s="223"/>
      <c r="N328" s="224"/>
    </row>
    <row r="329" spans="2:14" ht="16.5" thickBot="1" x14ac:dyDescent="0.3">
      <c r="B329" s="22" t="s">
        <v>12</v>
      </c>
      <c r="C329" s="73">
        <v>194</v>
      </c>
      <c r="D329" s="73">
        <v>168</v>
      </c>
      <c r="E329" s="73">
        <v>170</v>
      </c>
      <c r="F329" s="73">
        <v>158</v>
      </c>
      <c r="G329" s="73">
        <v>189</v>
      </c>
      <c r="H329" s="78">
        <v>172</v>
      </c>
      <c r="I329" s="225"/>
      <c r="J329" s="226"/>
      <c r="K329" s="226"/>
      <c r="L329" s="226"/>
      <c r="M329" s="226"/>
      <c r="N329" s="227"/>
    </row>
    <row r="331" spans="2:14" ht="15.75" thickBot="1" x14ac:dyDescent="0.3"/>
    <row r="332" spans="2:14" ht="15.75" x14ac:dyDescent="0.25">
      <c r="B332" s="2" t="s">
        <v>0</v>
      </c>
      <c r="C332" s="175" t="s">
        <v>59</v>
      </c>
      <c r="D332" s="176"/>
      <c r="E332" s="177" t="s">
        <v>1</v>
      </c>
      <c r="F332" s="178"/>
      <c r="G332" s="11">
        <v>100</v>
      </c>
      <c r="H332" s="179" t="s">
        <v>2</v>
      </c>
      <c r="I332" s="180"/>
      <c r="J332" s="181"/>
      <c r="K332" s="13">
        <v>100</v>
      </c>
      <c r="L332" s="3"/>
      <c r="M332" s="80" t="s">
        <v>11</v>
      </c>
      <c r="N332" s="76">
        <v>44365</v>
      </c>
    </row>
    <row r="333" spans="2:14" ht="15.75" x14ac:dyDescent="0.25">
      <c r="B333" s="4" t="s">
        <v>3</v>
      </c>
      <c r="C333" s="10">
        <v>6599</v>
      </c>
      <c r="D333" s="169" t="s">
        <v>57</v>
      </c>
      <c r="E333" s="170"/>
      <c r="F333" s="171"/>
      <c r="G333" s="18">
        <v>6968</v>
      </c>
      <c r="H333" s="172" t="s">
        <v>4</v>
      </c>
      <c r="I333" s="173"/>
      <c r="J333" s="174"/>
      <c r="K333" s="10">
        <v>58</v>
      </c>
      <c r="L333" s="15"/>
      <c r="M333" s="15"/>
      <c r="N333" s="16"/>
    </row>
    <row r="334" spans="2:14" ht="15.75" x14ac:dyDescent="0.25">
      <c r="B334" s="4" t="s">
        <v>5</v>
      </c>
      <c r="C334" s="19">
        <v>63</v>
      </c>
      <c r="D334" s="169" t="s">
        <v>8</v>
      </c>
      <c r="E334" s="170"/>
      <c r="F334" s="171"/>
      <c r="G334" s="17">
        <v>0.36</v>
      </c>
      <c r="H334" s="172" t="s">
        <v>9</v>
      </c>
      <c r="I334" s="173"/>
      <c r="J334" s="174"/>
      <c r="K334" s="12">
        <v>1.18</v>
      </c>
      <c r="L334" s="172" t="s">
        <v>6</v>
      </c>
      <c r="M334" s="174"/>
      <c r="N334" s="20">
        <v>3.28</v>
      </c>
    </row>
    <row r="335" spans="2:14" ht="16.5" thickBot="1" x14ac:dyDescent="0.3">
      <c r="B335" s="5"/>
      <c r="C335" s="9"/>
      <c r="D335" s="9"/>
      <c r="E335" s="9"/>
      <c r="F335" s="9"/>
      <c r="G335" s="9"/>
      <c r="H335" s="79"/>
      <c r="I335" s="21"/>
      <c r="J335" s="21"/>
      <c r="K335" s="21"/>
      <c r="L335" s="21"/>
      <c r="M335" s="21"/>
      <c r="N335" s="6"/>
    </row>
    <row r="336" spans="2:14" ht="15.75" x14ac:dyDescent="0.25">
      <c r="B336" s="7" t="s">
        <v>7</v>
      </c>
      <c r="C336" s="1">
        <v>1</v>
      </c>
      <c r="D336" s="1">
        <v>2</v>
      </c>
      <c r="E336" s="1">
        <v>3</v>
      </c>
      <c r="F336" s="1">
        <v>4</v>
      </c>
      <c r="G336" s="1">
        <v>5</v>
      </c>
      <c r="H336" s="77">
        <v>6</v>
      </c>
      <c r="I336" s="160" t="s">
        <v>98</v>
      </c>
      <c r="J336" s="220"/>
      <c r="K336" s="220"/>
      <c r="L336" s="220"/>
      <c r="M336" s="220"/>
      <c r="N336" s="221"/>
    </row>
    <row r="337" spans="2:14" ht="16.5" thickBot="1" x14ac:dyDescent="0.3">
      <c r="B337" s="8" t="s">
        <v>10</v>
      </c>
      <c r="C337" s="14">
        <v>27</v>
      </c>
      <c r="D337" s="14">
        <v>25</v>
      </c>
      <c r="E337" s="14">
        <v>26</v>
      </c>
      <c r="F337" s="14">
        <v>25</v>
      </c>
      <c r="G337" s="14">
        <v>27</v>
      </c>
      <c r="H337" s="25">
        <v>26</v>
      </c>
      <c r="I337" s="222"/>
      <c r="J337" s="223"/>
      <c r="K337" s="223"/>
      <c r="L337" s="223"/>
      <c r="M337" s="223"/>
      <c r="N337" s="224"/>
    </row>
    <row r="338" spans="2:14" ht="16.5" thickBot="1" x14ac:dyDescent="0.3">
      <c r="B338" s="22" t="s">
        <v>12</v>
      </c>
      <c r="C338" s="73">
        <v>85</v>
      </c>
      <c r="D338" s="73">
        <v>73</v>
      </c>
      <c r="E338" s="73">
        <v>69</v>
      </c>
      <c r="F338" s="73">
        <v>78</v>
      </c>
      <c r="G338" s="73">
        <v>82</v>
      </c>
      <c r="H338" s="78">
        <v>68</v>
      </c>
      <c r="I338" s="225"/>
      <c r="J338" s="226"/>
      <c r="K338" s="226"/>
      <c r="L338" s="226"/>
      <c r="M338" s="226"/>
      <c r="N338" s="227"/>
    </row>
    <row r="339" spans="2:14" ht="15.75" thickBot="1" x14ac:dyDescent="0.3"/>
    <row r="340" spans="2:14" ht="15.75" x14ac:dyDescent="0.25">
      <c r="B340" s="2" t="s">
        <v>0</v>
      </c>
      <c r="C340" s="175" t="s">
        <v>59</v>
      </c>
      <c r="D340" s="176"/>
      <c r="E340" s="177" t="s">
        <v>1</v>
      </c>
      <c r="F340" s="178"/>
      <c r="G340" s="11">
        <v>100</v>
      </c>
      <c r="H340" s="179" t="s">
        <v>2</v>
      </c>
      <c r="I340" s="180"/>
      <c r="J340" s="181"/>
      <c r="K340" s="13">
        <v>100</v>
      </c>
      <c r="L340" s="3"/>
      <c r="M340" s="80" t="s">
        <v>11</v>
      </c>
      <c r="N340" s="76">
        <v>44370</v>
      </c>
    </row>
    <row r="341" spans="2:14" ht="15.75" x14ac:dyDescent="0.25">
      <c r="B341" s="4" t="s">
        <v>3</v>
      </c>
      <c r="C341" s="10">
        <v>6717</v>
      </c>
      <c r="D341" s="169" t="s">
        <v>57</v>
      </c>
      <c r="E341" s="170"/>
      <c r="F341" s="171"/>
      <c r="G341" s="18">
        <v>6824</v>
      </c>
      <c r="H341" s="172" t="s">
        <v>4</v>
      </c>
      <c r="I341" s="173"/>
      <c r="J341" s="174"/>
      <c r="K341" s="10">
        <v>58</v>
      </c>
      <c r="L341" s="15"/>
      <c r="M341" s="15"/>
      <c r="N341" s="16"/>
    </row>
    <row r="342" spans="2:14" ht="15.75" x14ac:dyDescent="0.25">
      <c r="B342" s="4" t="s">
        <v>5</v>
      </c>
      <c r="C342" s="19">
        <v>63</v>
      </c>
      <c r="D342" s="169" t="s">
        <v>8</v>
      </c>
      <c r="E342" s="170"/>
      <c r="F342" s="171"/>
      <c r="G342" s="17">
        <v>0.36</v>
      </c>
      <c r="H342" s="172" t="s">
        <v>9</v>
      </c>
      <c r="I342" s="173"/>
      <c r="J342" s="174"/>
      <c r="K342" s="12">
        <v>1.18</v>
      </c>
      <c r="L342" s="172" t="s">
        <v>6</v>
      </c>
      <c r="M342" s="174"/>
      <c r="N342" s="20">
        <v>3.28</v>
      </c>
    </row>
    <row r="343" spans="2:14" ht="16.5" thickBot="1" x14ac:dyDescent="0.3">
      <c r="B343" s="5"/>
      <c r="C343" s="9"/>
      <c r="D343" s="9"/>
      <c r="E343" s="9"/>
      <c r="F343" s="9"/>
      <c r="G343" s="9"/>
      <c r="H343" s="79"/>
      <c r="I343" s="21"/>
      <c r="J343" s="21"/>
      <c r="K343" s="21"/>
      <c r="L343" s="21"/>
      <c r="M343" s="21"/>
      <c r="N343" s="6"/>
    </row>
    <row r="344" spans="2:14" ht="15.75" x14ac:dyDescent="0.25">
      <c r="B344" s="7" t="s">
        <v>7</v>
      </c>
      <c r="C344" s="1">
        <v>1</v>
      </c>
      <c r="D344" s="1">
        <v>2</v>
      </c>
      <c r="E344" s="1">
        <v>3</v>
      </c>
      <c r="F344" s="1">
        <v>4</v>
      </c>
      <c r="G344" s="1">
        <v>5</v>
      </c>
      <c r="H344" s="77">
        <v>6</v>
      </c>
      <c r="I344" s="160" t="s">
        <v>99</v>
      </c>
      <c r="J344" s="220"/>
      <c r="K344" s="220"/>
      <c r="L344" s="220"/>
      <c r="M344" s="220"/>
      <c r="N344" s="221"/>
    </row>
    <row r="345" spans="2:14" ht="16.5" thickBot="1" x14ac:dyDescent="0.3">
      <c r="B345" s="8" t="s">
        <v>10</v>
      </c>
      <c r="C345" s="14">
        <v>29</v>
      </c>
      <c r="D345" s="14">
        <v>27</v>
      </c>
      <c r="E345" s="14">
        <v>28</v>
      </c>
      <c r="F345" s="14">
        <v>27</v>
      </c>
      <c r="G345" s="14">
        <v>29</v>
      </c>
      <c r="H345" s="25">
        <v>28</v>
      </c>
      <c r="I345" s="222"/>
      <c r="J345" s="223"/>
      <c r="K345" s="223"/>
      <c r="L345" s="223"/>
      <c r="M345" s="223"/>
      <c r="N345" s="224"/>
    </row>
    <row r="346" spans="2:14" ht="16.5" thickBot="1" x14ac:dyDescent="0.3">
      <c r="B346" s="22" t="s">
        <v>12</v>
      </c>
      <c r="C346" s="73">
        <v>79</v>
      </c>
      <c r="D346" s="73">
        <v>67</v>
      </c>
      <c r="E346" s="73">
        <v>62</v>
      </c>
      <c r="F346" s="73">
        <v>71</v>
      </c>
      <c r="G346" s="73">
        <v>75</v>
      </c>
      <c r="H346" s="78">
        <v>62</v>
      </c>
      <c r="I346" s="225"/>
      <c r="J346" s="226"/>
      <c r="K346" s="226"/>
      <c r="L346" s="226"/>
      <c r="M346" s="226"/>
      <c r="N346" s="227"/>
    </row>
    <row r="348" spans="2:14" ht="15.75" thickBot="1" x14ac:dyDescent="0.3"/>
    <row r="349" spans="2:14" ht="15.75" x14ac:dyDescent="0.25">
      <c r="B349" s="2" t="s">
        <v>0</v>
      </c>
      <c r="C349" s="175" t="s">
        <v>59</v>
      </c>
      <c r="D349" s="176"/>
      <c r="E349" s="177" t="s">
        <v>1</v>
      </c>
      <c r="F349" s="178"/>
      <c r="G349" s="11">
        <v>100</v>
      </c>
      <c r="H349" s="179" t="s">
        <v>2</v>
      </c>
      <c r="I349" s="180"/>
      <c r="J349" s="181"/>
      <c r="K349" s="13">
        <v>100</v>
      </c>
      <c r="L349" s="3"/>
      <c r="M349" s="80" t="s">
        <v>11</v>
      </c>
      <c r="N349" s="76">
        <v>44380</v>
      </c>
    </row>
    <row r="350" spans="2:14" ht="15.75" x14ac:dyDescent="0.25">
      <c r="B350" s="4" t="s">
        <v>3</v>
      </c>
      <c r="C350" s="10">
        <v>6935</v>
      </c>
      <c r="D350" s="169" t="s">
        <v>57</v>
      </c>
      <c r="E350" s="170"/>
      <c r="F350" s="171"/>
      <c r="G350" s="18"/>
      <c r="H350" s="172" t="s">
        <v>4</v>
      </c>
      <c r="I350" s="173"/>
      <c r="J350" s="174"/>
      <c r="K350" s="10"/>
      <c r="L350" s="15"/>
      <c r="M350" s="15"/>
      <c r="N350" s="16"/>
    </row>
    <row r="351" spans="2:14" ht="15.75" x14ac:dyDescent="0.25">
      <c r="B351" s="4" t="s">
        <v>5</v>
      </c>
      <c r="C351" s="19"/>
      <c r="D351" s="169" t="s">
        <v>8</v>
      </c>
      <c r="E351" s="170"/>
      <c r="F351" s="171"/>
      <c r="G351" s="17">
        <v>0.36</v>
      </c>
      <c r="H351" s="172" t="s">
        <v>9</v>
      </c>
      <c r="I351" s="173"/>
      <c r="J351" s="174"/>
      <c r="K351" s="12">
        <v>1.18</v>
      </c>
      <c r="L351" s="172" t="s">
        <v>6</v>
      </c>
      <c r="M351" s="174"/>
      <c r="N351" s="20">
        <v>3.28</v>
      </c>
    </row>
    <row r="352" spans="2:14" ht="16.5" thickBot="1" x14ac:dyDescent="0.3">
      <c r="B352" s="5"/>
      <c r="C352" s="9"/>
      <c r="D352" s="9"/>
      <c r="E352" s="9"/>
      <c r="F352" s="9"/>
      <c r="G352" s="9"/>
      <c r="H352" s="79"/>
      <c r="I352" s="21"/>
      <c r="J352" s="21"/>
      <c r="K352" s="21"/>
      <c r="L352" s="21"/>
      <c r="M352" s="21"/>
      <c r="N352" s="6"/>
    </row>
    <row r="353" spans="2:14" ht="15.75" x14ac:dyDescent="0.25">
      <c r="B353" s="7" t="s">
        <v>7</v>
      </c>
      <c r="C353" s="1">
        <v>1</v>
      </c>
      <c r="D353" s="1">
        <v>2</v>
      </c>
      <c r="E353" s="1">
        <v>3</v>
      </c>
      <c r="F353" s="1">
        <v>4</v>
      </c>
      <c r="G353" s="1">
        <v>5</v>
      </c>
      <c r="H353" s="77">
        <v>6</v>
      </c>
      <c r="I353" s="160" t="s">
        <v>100</v>
      </c>
      <c r="J353" s="220"/>
      <c r="K353" s="220"/>
      <c r="L353" s="220"/>
      <c r="M353" s="220"/>
      <c r="N353" s="221"/>
    </row>
    <row r="354" spans="2:14" ht="16.5" thickBot="1" x14ac:dyDescent="0.3">
      <c r="B354" s="8" t="s">
        <v>10</v>
      </c>
      <c r="C354" s="14"/>
      <c r="D354" s="14"/>
      <c r="E354" s="14"/>
      <c r="F354" s="14"/>
      <c r="G354" s="14"/>
      <c r="H354" s="25"/>
      <c r="I354" s="222"/>
      <c r="J354" s="223"/>
      <c r="K354" s="223"/>
      <c r="L354" s="223"/>
      <c r="M354" s="223"/>
      <c r="N354" s="224"/>
    </row>
    <row r="355" spans="2:14" ht="16.5" thickBot="1" x14ac:dyDescent="0.3">
      <c r="B355" s="22" t="s">
        <v>12</v>
      </c>
      <c r="C355" s="73"/>
      <c r="D355" s="73"/>
      <c r="E355" s="73"/>
      <c r="F355" s="73"/>
      <c r="G355" s="73"/>
      <c r="H355" s="78"/>
      <c r="I355" s="225"/>
      <c r="J355" s="226"/>
      <c r="K355" s="226"/>
      <c r="L355" s="226"/>
      <c r="M355" s="226"/>
      <c r="N355" s="227"/>
    </row>
    <row r="357" spans="2:14" ht="15.75" thickBot="1" x14ac:dyDescent="0.3"/>
    <row r="358" spans="2:14" ht="15.75" x14ac:dyDescent="0.25">
      <c r="B358" s="2" t="s">
        <v>0</v>
      </c>
      <c r="C358" s="175" t="s">
        <v>59</v>
      </c>
      <c r="D358" s="176"/>
      <c r="E358" s="177" t="s">
        <v>1</v>
      </c>
      <c r="F358" s="178"/>
      <c r="G358" s="11">
        <v>100</v>
      </c>
      <c r="H358" s="179" t="s">
        <v>2</v>
      </c>
      <c r="I358" s="180"/>
      <c r="J358" s="181"/>
      <c r="K358" s="13">
        <v>100</v>
      </c>
      <c r="L358" s="3"/>
      <c r="M358" s="80" t="s">
        <v>11</v>
      </c>
      <c r="N358" s="76">
        <v>44387</v>
      </c>
    </row>
    <row r="359" spans="2:14" ht="15.75" x14ac:dyDescent="0.25">
      <c r="B359" s="4" t="s">
        <v>3</v>
      </c>
      <c r="C359" s="10">
        <v>7060</v>
      </c>
      <c r="D359" s="169" t="s">
        <v>57</v>
      </c>
      <c r="E359" s="170"/>
      <c r="F359" s="171"/>
      <c r="G359" s="18"/>
      <c r="H359" s="172" t="s">
        <v>4</v>
      </c>
      <c r="I359" s="173"/>
      <c r="J359" s="174"/>
      <c r="K359" s="10"/>
      <c r="L359" s="15"/>
      <c r="M359" s="15"/>
      <c r="N359" s="16"/>
    </row>
    <row r="360" spans="2:14" ht="15.75" x14ac:dyDescent="0.25">
      <c r="B360" s="4" t="s">
        <v>5</v>
      </c>
      <c r="C360" s="19"/>
      <c r="D360" s="169" t="s">
        <v>8</v>
      </c>
      <c r="E360" s="170"/>
      <c r="F360" s="171"/>
      <c r="G360" s="17">
        <v>0.36</v>
      </c>
      <c r="H360" s="172" t="s">
        <v>9</v>
      </c>
      <c r="I360" s="173"/>
      <c r="J360" s="174"/>
      <c r="K360" s="12">
        <v>1.18</v>
      </c>
      <c r="L360" s="172" t="s">
        <v>6</v>
      </c>
      <c r="M360" s="174"/>
      <c r="N360" s="20">
        <v>3.28</v>
      </c>
    </row>
    <row r="361" spans="2:14" ht="16.5" thickBot="1" x14ac:dyDescent="0.3">
      <c r="B361" s="5"/>
      <c r="C361" s="9"/>
      <c r="D361" s="9"/>
      <c r="E361" s="9"/>
      <c r="F361" s="9"/>
      <c r="G361" s="9"/>
      <c r="H361" s="79"/>
      <c r="I361" s="21"/>
      <c r="J361" s="21"/>
      <c r="K361" s="21"/>
      <c r="L361" s="21"/>
      <c r="M361" s="21"/>
      <c r="N361" s="6"/>
    </row>
    <row r="362" spans="2:14" ht="15.75" x14ac:dyDescent="0.25">
      <c r="B362" s="7" t="s">
        <v>7</v>
      </c>
      <c r="C362" s="1">
        <v>1</v>
      </c>
      <c r="D362" s="1">
        <v>2</v>
      </c>
      <c r="E362" s="1">
        <v>3</v>
      </c>
      <c r="F362" s="1">
        <v>4</v>
      </c>
      <c r="G362" s="1">
        <v>5</v>
      </c>
      <c r="H362" s="77">
        <v>6</v>
      </c>
      <c r="I362" s="160" t="s">
        <v>101</v>
      </c>
      <c r="J362" s="220"/>
      <c r="K362" s="220"/>
      <c r="L362" s="220"/>
      <c r="M362" s="220"/>
      <c r="N362" s="221"/>
    </row>
    <row r="363" spans="2:14" ht="16.5" thickBot="1" x14ac:dyDescent="0.3">
      <c r="B363" s="8" t="s">
        <v>10</v>
      </c>
      <c r="C363" s="14"/>
      <c r="D363" s="14"/>
      <c r="E363" s="14"/>
      <c r="F363" s="14"/>
      <c r="G363" s="14"/>
      <c r="H363" s="25"/>
      <c r="I363" s="222"/>
      <c r="J363" s="223"/>
      <c r="K363" s="223"/>
      <c r="L363" s="223"/>
      <c r="M363" s="223"/>
      <c r="N363" s="224"/>
    </row>
    <row r="364" spans="2:14" ht="16.5" thickBot="1" x14ac:dyDescent="0.3">
      <c r="B364" s="22" t="s">
        <v>12</v>
      </c>
      <c r="C364" s="73"/>
      <c r="D364" s="73"/>
      <c r="E364" s="73"/>
      <c r="F364" s="73"/>
      <c r="G364" s="73"/>
      <c r="H364" s="78"/>
      <c r="I364" s="225"/>
      <c r="J364" s="226"/>
      <c r="K364" s="226"/>
      <c r="L364" s="226"/>
      <c r="M364" s="226"/>
      <c r="N364" s="227"/>
    </row>
    <row r="366" spans="2:14" ht="15.75" thickBot="1" x14ac:dyDescent="0.3"/>
    <row r="367" spans="2:14" ht="15.75" x14ac:dyDescent="0.25">
      <c r="B367" s="2" t="s">
        <v>0</v>
      </c>
      <c r="C367" s="175" t="s">
        <v>102</v>
      </c>
      <c r="D367" s="176"/>
      <c r="E367" s="177" t="s">
        <v>1</v>
      </c>
      <c r="F367" s="178"/>
      <c r="G367" s="11">
        <v>40</v>
      </c>
      <c r="H367" s="179" t="s">
        <v>2</v>
      </c>
      <c r="I367" s="180"/>
      <c r="J367" s="181"/>
      <c r="K367" s="13">
        <v>40</v>
      </c>
      <c r="L367" s="3"/>
      <c r="M367" s="80" t="s">
        <v>11</v>
      </c>
      <c r="N367" s="76">
        <v>44394</v>
      </c>
    </row>
    <row r="368" spans="2:14" ht="15.75" x14ac:dyDescent="0.25">
      <c r="B368" s="4" t="s">
        <v>3</v>
      </c>
      <c r="C368" s="10">
        <v>7142</v>
      </c>
      <c r="D368" s="169" t="s">
        <v>57</v>
      </c>
      <c r="E368" s="170"/>
      <c r="F368" s="171"/>
      <c r="G368" s="18">
        <v>6585</v>
      </c>
      <c r="H368" s="172" t="s">
        <v>4</v>
      </c>
      <c r="I368" s="173"/>
      <c r="J368" s="174"/>
      <c r="K368" s="10">
        <v>58</v>
      </c>
      <c r="L368" s="15"/>
      <c r="M368" s="15"/>
      <c r="N368" s="16"/>
    </row>
    <row r="369" spans="2:14" ht="15.75" x14ac:dyDescent="0.25">
      <c r="B369" s="4" t="s">
        <v>5</v>
      </c>
      <c r="C369" s="19">
        <v>61</v>
      </c>
      <c r="D369" s="169" t="s">
        <v>8</v>
      </c>
      <c r="E369" s="170"/>
      <c r="F369" s="171"/>
      <c r="G369" s="17">
        <v>0.36</v>
      </c>
      <c r="H369" s="172" t="s">
        <v>9</v>
      </c>
      <c r="I369" s="173"/>
      <c r="J369" s="174"/>
      <c r="K369" s="12">
        <v>0.76</v>
      </c>
      <c r="L369" s="172" t="s">
        <v>6</v>
      </c>
      <c r="M369" s="174"/>
      <c r="N369" s="20">
        <v>0.34</v>
      </c>
    </row>
    <row r="370" spans="2:14" ht="16.5" thickBot="1" x14ac:dyDescent="0.3">
      <c r="B370" s="5"/>
      <c r="C370" s="9"/>
      <c r="D370" s="9"/>
      <c r="E370" s="9"/>
      <c r="F370" s="9"/>
      <c r="G370" s="9"/>
      <c r="H370" s="79"/>
      <c r="I370" s="21"/>
      <c r="J370" s="21"/>
      <c r="K370" s="21"/>
      <c r="L370" s="21"/>
      <c r="M370" s="21"/>
      <c r="N370" s="6"/>
    </row>
    <row r="371" spans="2:14" ht="15.75" x14ac:dyDescent="0.25">
      <c r="B371" s="7" t="s">
        <v>7</v>
      </c>
      <c r="C371" s="1">
        <v>1</v>
      </c>
      <c r="D371" s="1">
        <v>2</v>
      </c>
      <c r="E371" s="1">
        <v>3</v>
      </c>
      <c r="F371" s="1">
        <v>4</v>
      </c>
      <c r="G371" s="1">
        <v>5</v>
      </c>
      <c r="H371" s="77">
        <v>6</v>
      </c>
      <c r="I371" s="160" t="s">
        <v>103</v>
      </c>
      <c r="J371" s="220"/>
      <c r="K371" s="220"/>
      <c r="L371" s="220"/>
      <c r="M371" s="220"/>
      <c r="N371" s="221"/>
    </row>
    <row r="372" spans="2:14" ht="16.5" thickBot="1" x14ac:dyDescent="0.3">
      <c r="B372" s="8" t="s">
        <v>10</v>
      </c>
      <c r="C372" s="14">
        <v>17</v>
      </c>
      <c r="D372" s="14">
        <v>16</v>
      </c>
      <c r="E372" s="14">
        <v>16</v>
      </c>
      <c r="F372" s="14">
        <v>16</v>
      </c>
      <c r="G372" s="14">
        <v>16</v>
      </c>
      <c r="H372" s="25">
        <v>18</v>
      </c>
      <c r="I372" s="222"/>
      <c r="J372" s="223"/>
      <c r="K372" s="223"/>
      <c r="L372" s="223"/>
      <c r="M372" s="223"/>
      <c r="N372" s="224"/>
    </row>
    <row r="373" spans="2:14" ht="16.5" thickBot="1" x14ac:dyDescent="0.3">
      <c r="B373" s="22" t="s">
        <v>12</v>
      </c>
      <c r="C373" s="73">
        <v>32</v>
      </c>
      <c r="D373" s="73">
        <v>30</v>
      </c>
      <c r="E373" s="73">
        <v>32</v>
      </c>
      <c r="F373" s="73">
        <v>34</v>
      </c>
      <c r="G373" s="73">
        <v>32</v>
      </c>
      <c r="H373" s="78">
        <v>28</v>
      </c>
      <c r="I373" s="225"/>
      <c r="J373" s="226"/>
      <c r="K373" s="226"/>
      <c r="L373" s="226"/>
      <c r="M373" s="226"/>
      <c r="N373" s="227"/>
    </row>
    <row r="375" spans="2:14" ht="15.75" thickBot="1" x14ac:dyDescent="0.3"/>
    <row r="376" spans="2:14" ht="15.75" x14ac:dyDescent="0.25">
      <c r="B376" s="2" t="s">
        <v>0</v>
      </c>
      <c r="C376" s="175" t="s">
        <v>59</v>
      </c>
      <c r="D376" s="176"/>
      <c r="E376" s="177" t="s">
        <v>1</v>
      </c>
      <c r="F376" s="178"/>
      <c r="G376" s="11">
        <v>100</v>
      </c>
      <c r="H376" s="179" t="s">
        <v>2</v>
      </c>
      <c r="I376" s="180"/>
      <c r="J376" s="181"/>
      <c r="K376" s="13">
        <v>100</v>
      </c>
      <c r="L376" s="3"/>
      <c r="M376" s="80" t="s">
        <v>11</v>
      </c>
      <c r="N376" s="76">
        <v>44401</v>
      </c>
    </row>
    <row r="377" spans="2:14" ht="15.75" x14ac:dyDescent="0.25">
      <c r="B377" s="4" t="s">
        <v>3</v>
      </c>
      <c r="C377" s="10">
        <v>7311</v>
      </c>
      <c r="D377" s="169" t="s">
        <v>57</v>
      </c>
      <c r="E377" s="170"/>
      <c r="F377" s="171"/>
      <c r="G377" s="18">
        <v>8435</v>
      </c>
      <c r="H377" s="172" t="s">
        <v>4</v>
      </c>
      <c r="I377" s="173"/>
      <c r="J377" s="174"/>
      <c r="K377" s="10">
        <v>61</v>
      </c>
      <c r="L377" s="15"/>
      <c r="M377" s="15"/>
      <c r="N377" s="16"/>
    </row>
    <row r="378" spans="2:14" ht="15.75" x14ac:dyDescent="0.25">
      <c r="B378" s="4" t="s">
        <v>5</v>
      </c>
      <c r="C378" s="19">
        <v>73</v>
      </c>
      <c r="D378" s="169" t="s">
        <v>8</v>
      </c>
      <c r="E378" s="170"/>
      <c r="F378" s="171"/>
      <c r="G378" s="17">
        <v>0.36</v>
      </c>
      <c r="H378" s="172" t="s">
        <v>9</v>
      </c>
      <c r="I378" s="173"/>
      <c r="J378" s="174"/>
      <c r="K378" s="12">
        <v>1.18</v>
      </c>
      <c r="L378" s="172" t="s">
        <v>6</v>
      </c>
      <c r="M378" s="174"/>
      <c r="N378" s="20">
        <v>3.28</v>
      </c>
    </row>
    <row r="379" spans="2:14" ht="16.5" thickBot="1" x14ac:dyDescent="0.3">
      <c r="B379" s="5"/>
      <c r="C379" s="9"/>
      <c r="D379" s="9"/>
      <c r="E379" s="9"/>
      <c r="F379" s="9"/>
      <c r="G379" s="9"/>
      <c r="H379" s="79"/>
      <c r="I379" s="21"/>
      <c r="J379" s="21"/>
      <c r="K379" s="21"/>
      <c r="L379" s="21"/>
      <c r="M379" s="21"/>
      <c r="N379" s="6"/>
    </row>
    <row r="380" spans="2:14" ht="15.75" x14ac:dyDescent="0.25">
      <c r="B380" s="7" t="s">
        <v>7</v>
      </c>
      <c r="C380" s="1">
        <v>1</v>
      </c>
      <c r="D380" s="1">
        <v>2</v>
      </c>
      <c r="E380" s="1">
        <v>3</v>
      </c>
      <c r="F380" s="1">
        <v>4</v>
      </c>
      <c r="G380" s="1">
        <v>5</v>
      </c>
      <c r="H380" s="77">
        <v>6</v>
      </c>
      <c r="I380" s="160" t="s">
        <v>104</v>
      </c>
      <c r="J380" s="220"/>
      <c r="K380" s="220"/>
      <c r="L380" s="220"/>
      <c r="M380" s="220"/>
      <c r="N380" s="221"/>
    </row>
    <row r="381" spans="2:14" ht="15.75" x14ac:dyDescent="0.25">
      <c r="B381" s="87" t="s">
        <v>10</v>
      </c>
      <c r="C381" s="88">
        <v>32</v>
      </c>
      <c r="D381" s="88">
        <v>31</v>
      </c>
      <c r="E381" s="88">
        <v>32</v>
      </c>
      <c r="F381" s="88">
        <v>30</v>
      </c>
      <c r="G381" s="88">
        <v>29</v>
      </c>
      <c r="H381" s="89">
        <v>30</v>
      </c>
      <c r="I381" s="222"/>
      <c r="J381" s="223"/>
      <c r="K381" s="223"/>
      <c r="L381" s="223"/>
      <c r="M381" s="223"/>
      <c r="N381" s="224"/>
    </row>
    <row r="382" spans="2:14" ht="16.5" thickBot="1" x14ac:dyDescent="0.3">
      <c r="B382" s="90" t="s">
        <v>12</v>
      </c>
      <c r="C382" s="91">
        <v>82</v>
      </c>
      <c r="D382" s="91">
        <v>68</v>
      </c>
      <c r="E382" s="91">
        <v>65</v>
      </c>
      <c r="F382" s="91">
        <v>72</v>
      </c>
      <c r="G382" s="91">
        <v>79</v>
      </c>
      <c r="H382" s="92">
        <v>65</v>
      </c>
      <c r="I382" s="226"/>
      <c r="J382" s="226"/>
      <c r="K382" s="226"/>
      <c r="L382" s="226"/>
      <c r="M382" s="226"/>
      <c r="N382" s="227"/>
    </row>
    <row r="383" spans="2:14" x14ac:dyDescent="0.25">
      <c r="C383" s="85"/>
      <c r="D383" s="85"/>
      <c r="E383" s="85"/>
      <c r="F383" s="85"/>
      <c r="G383" s="85"/>
      <c r="H383" s="86"/>
    </row>
    <row r="384" spans="2:14" ht="15.75" thickBot="1" x14ac:dyDescent="0.3"/>
    <row r="385" spans="2:14" ht="15.75" x14ac:dyDescent="0.25">
      <c r="B385" s="2" t="s">
        <v>0</v>
      </c>
      <c r="C385" s="175" t="s">
        <v>59</v>
      </c>
      <c r="D385" s="176"/>
      <c r="E385" s="177" t="s">
        <v>1</v>
      </c>
      <c r="F385" s="178"/>
      <c r="G385" s="11">
        <v>100</v>
      </c>
      <c r="H385" s="179" t="s">
        <v>2</v>
      </c>
      <c r="I385" s="180"/>
      <c r="J385" s="181"/>
      <c r="K385" s="13">
        <v>100</v>
      </c>
      <c r="L385" s="3"/>
      <c r="M385" s="80" t="s">
        <v>11</v>
      </c>
      <c r="N385" s="76">
        <v>44408</v>
      </c>
    </row>
    <row r="386" spans="2:14" ht="15.75" x14ac:dyDescent="0.25">
      <c r="B386" s="4" t="s">
        <v>3</v>
      </c>
      <c r="C386" s="10">
        <v>7442</v>
      </c>
      <c r="D386" s="169" t="s">
        <v>57</v>
      </c>
      <c r="E386" s="170"/>
      <c r="F386" s="171"/>
      <c r="G386" s="18">
        <v>7654</v>
      </c>
      <c r="H386" s="172" t="s">
        <v>4</v>
      </c>
      <c r="I386" s="173"/>
      <c r="J386" s="174"/>
      <c r="K386" s="10">
        <v>59</v>
      </c>
      <c r="L386" s="15"/>
      <c r="M386" s="15"/>
      <c r="N386" s="16"/>
    </row>
    <row r="387" spans="2:14" ht="15.75" x14ac:dyDescent="0.25">
      <c r="B387" s="4" t="s">
        <v>5</v>
      </c>
      <c r="C387" s="19">
        <v>67</v>
      </c>
      <c r="D387" s="169" t="s">
        <v>8</v>
      </c>
      <c r="E387" s="170"/>
      <c r="F387" s="171"/>
      <c r="G387" s="17">
        <v>0.36</v>
      </c>
      <c r="H387" s="172" t="s">
        <v>9</v>
      </c>
      <c r="I387" s="173"/>
      <c r="J387" s="174"/>
      <c r="K387" s="12">
        <v>1.18</v>
      </c>
      <c r="L387" s="172" t="s">
        <v>6</v>
      </c>
      <c r="M387" s="174"/>
      <c r="N387" s="20">
        <v>3.28</v>
      </c>
    </row>
    <row r="388" spans="2:14" ht="16.5" thickBot="1" x14ac:dyDescent="0.3">
      <c r="B388" s="5"/>
      <c r="C388" s="9"/>
      <c r="D388" s="9"/>
      <c r="E388" s="9"/>
      <c r="F388" s="9"/>
      <c r="G388" s="9"/>
      <c r="H388" s="79"/>
      <c r="I388" s="21"/>
      <c r="J388" s="21"/>
      <c r="K388" s="21"/>
      <c r="L388" s="21"/>
      <c r="M388" s="21"/>
      <c r="N388" s="6"/>
    </row>
    <row r="389" spans="2:14" ht="15.75" x14ac:dyDescent="0.25">
      <c r="B389" s="7" t="s">
        <v>7</v>
      </c>
      <c r="C389" s="1">
        <v>1</v>
      </c>
      <c r="D389" s="1">
        <v>2</v>
      </c>
      <c r="E389" s="1">
        <v>3</v>
      </c>
      <c r="F389" s="1">
        <v>4</v>
      </c>
      <c r="G389" s="1">
        <v>5</v>
      </c>
      <c r="H389" s="77">
        <v>6</v>
      </c>
      <c r="I389" s="160" t="s">
        <v>105</v>
      </c>
      <c r="J389" s="220"/>
      <c r="K389" s="220"/>
      <c r="L389" s="220"/>
      <c r="M389" s="220"/>
      <c r="N389" s="221"/>
    </row>
    <row r="390" spans="2:14" ht="15.75" x14ac:dyDescent="0.25">
      <c r="B390" s="87" t="s">
        <v>10</v>
      </c>
      <c r="C390" s="88">
        <v>32</v>
      </c>
      <c r="D390" s="88">
        <v>30</v>
      </c>
      <c r="E390" s="88">
        <v>31</v>
      </c>
      <c r="F390" s="88">
        <v>30</v>
      </c>
      <c r="G390" s="88">
        <v>30</v>
      </c>
      <c r="H390" s="89">
        <v>32</v>
      </c>
      <c r="I390" s="222"/>
      <c r="J390" s="223"/>
      <c r="K390" s="223"/>
      <c r="L390" s="223"/>
      <c r="M390" s="223"/>
      <c r="N390" s="224"/>
    </row>
    <row r="391" spans="2:14" ht="16.5" thickBot="1" x14ac:dyDescent="0.3">
      <c r="B391" s="90" t="s">
        <v>12</v>
      </c>
      <c r="C391" s="91">
        <v>80</v>
      </c>
      <c r="D391" s="91">
        <v>62</v>
      </c>
      <c r="E391" s="91">
        <v>64</v>
      </c>
      <c r="F391" s="91">
        <v>68</v>
      </c>
      <c r="G391" s="91">
        <v>78</v>
      </c>
      <c r="H391" s="92">
        <v>68</v>
      </c>
      <c r="I391" s="226"/>
      <c r="J391" s="226"/>
      <c r="K391" s="226"/>
      <c r="L391" s="226"/>
      <c r="M391" s="226"/>
      <c r="N391" s="227"/>
    </row>
    <row r="393" spans="2:14" ht="15.75" thickBot="1" x14ac:dyDescent="0.3"/>
    <row r="394" spans="2:14" ht="15.75" x14ac:dyDescent="0.25">
      <c r="B394" s="2" t="s">
        <v>0</v>
      </c>
      <c r="C394" s="175" t="s">
        <v>59</v>
      </c>
      <c r="D394" s="176"/>
      <c r="E394" s="177" t="s">
        <v>1</v>
      </c>
      <c r="F394" s="178"/>
      <c r="G394" s="11">
        <v>100</v>
      </c>
      <c r="H394" s="179" t="s">
        <v>2</v>
      </c>
      <c r="I394" s="180"/>
      <c r="J394" s="181"/>
      <c r="K394" s="13">
        <v>100</v>
      </c>
      <c r="L394" s="3"/>
      <c r="M394" s="80" t="s">
        <v>11</v>
      </c>
      <c r="N394" s="76">
        <v>44415</v>
      </c>
    </row>
    <row r="395" spans="2:14" ht="15.75" x14ac:dyDescent="0.25">
      <c r="B395" s="4" t="s">
        <v>3</v>
      </c>
      <c r="C395" s="10">
        <v>7612</v>
      </c>
      <c r="D395" s="169" t="s">
        <v>57</v>
      </c>
      <c r="E395" s="170"/>
      <c r="F395" s="171"/>
      <c r="G395" s="18">
        <v>7694</v>
      </c>
      <c r="H395" s="172" t="s">
        <v>4</v>
      </c>
      <c r="I395" s="173"/>
      <c r="J395" s="174"/>
      <c r="K395" s="10">
        <v>59</v>
      </c>
      <c r="L395" s="15"/>
      <c r="M395" s="15"/>
      <c r="N395" s="16"/>
    </row>
    <row r="396" spans="2:14" ht="15.75" x14ac:dyDescent="0.25">
      <c r="B396" s="4" t="s">
        <v>5</v>
      </c>
      <c r="C396" s="19">
        <v>68</v>
      </c>
      <c r="D396" s="169" t="s">
        <v>8</v>
      </c>
      <c r="E396" s="170"/>
      <c r="F396" s="171"/>
      <c r="G396" s="17">
        <v>0.36</v>
      </c>
      <c r="H396" s="172" t="s">
        <v>9</v>
      </c>
      <c r="I396" s="173"/>
      <c r="J396" s="174"/>
      <c r="K396" s="12">
        <v>1.18</v>
      </c>
      <c r="L396" s="172" t="s">
        <v>6</v>
      </c>
      <c r="M396" s="174"/>
      <c r="N396" s="20">
        <v>3.28</v>
      </c>
    </row>
    <row r="397" spans="2:14" ht="16.5" thickBot="1" x14ac:dyDescent="0.3">
      <c r="B397" s="5"/>
      <c r="C397" s="9"/>
      <c r="D397" s="9"/>
      <c r="E397" s="9"/>
      <c r="F397" s="9"/>
      <c r="G397" s="9"/>
      <c r="H397" s="79"/>
      <c r="I397" s="21"/>
      <c r="J397" s="21"/>
      <c r="K397" s="21"/>
      <c r="L397" s="21"/>
      <c r="M397" s="21"/>
      <c r="N397" s="6"/>
    </row>
    <row r="398" spans="2:14" ht="15.75" x14ac:dyDescent="0.25">
      <c r="B398" s="7" t="s">
        <v>7</v>
      </c>
      <c r="C398" s="1">
        <v>1</v>
      </c>
      <c r="D398" s="1">
        <v>2</v>
      </c>
      <c r="E398" s="1">
        <v>3</v>
      </c>
      <c r="F398" s="1">
        <v>4</v>
      </c>
      <c r="G398" s="1">
        <v>5</v>
      </c>
      <c r="H398" s="77">
        <v>6</v>
      </c>
      <c r="I398" s="160" t="s">
        <v>106</v>
      </c>
      <c r="J398" s="220"/>
      <c r="K398" s="220"/>
      <c r="L398" s="220"/>
      <c r="M398" s="220"/>
      <c r="N398" s="221"/>
    </row>
    <row r="399" spans="2:14" ht="15.75" x14ac:dyDescent="0.25">
      <c r="B399" s="87" t="s">
        <v>10</v>
      </c>
      <c r="C399" s="88">
        <v>30</v>
      </c>
      <c r="D399" s="88">
        <v>29</v>
      </c>
      <c r="E399" s="88">
        <v>29</v>
      </c>
      <c r="F399" s="88">
        <v>28</v>
      </c>
      <c r="G399" s="88">
        <v>27</v>
      </c>
      <c r="H399" s="89">
        <v>28</v>
      </c>
      <c r="I399" s="222"/>
      <c r="J399" s="223"/>
      <c r="K399" s="223"/>
      <c r="L399" s="223"/>
      <c r="M399" s="223"/>
      <c r="N399" s="224"/>
    </row>
    <row r="400" spans="2:14" ht="16.5" thickBot="1" x14ac:dyDescent="0.3">
      <c r="B400" s="90" t="s">
        <v>12</v>
      </c>
      <c r="C400" s="91">
        <v>80</v>
      </c>
      <c r="D400" s="91">
        <v>64</v>
      </c>
      <c r="E400" s="91">
        <v>64</v>
      </c>
      <c r="F400" s="91">
        <v>64</v>
      </c>
      <c r="G400" s="91">
        <v>72</v>
      </c>
      <c r="H400" s="92">
        <v>70</v>
      </c>
      <c r="I400" s="226"/>
      <c r="J400" s="226"/>
      <c r="K400" s="226"/>
      <c r="L400" s="226"/>
      <c r="M400" s="226"/>
      <c r="N400" s="227"/>
    </row>
    <row r="402" spans="2:14" ht="15.75" thickBot="1" x14ac:dyDescent="0.3"/>
    <row r="403" spans="2:14" ht="15.75" x14ac:dyDescent="0.25">
      <c r="B403" s="2" t="s">
        <v>0</v>
      </c>
      <c r="C403" s="175" t="s">
        <v>59</v>
      </c>
      <c r="D403" s="176"/>
      <c r="E403" s="177" t="s">
        <v>1</v>
      </c>
      <c r="F403" s="178"/>
      <c r="G403" s="11">
        <v>100</v>
      </c>
      <c r="H403" s="179" t="s">
        <v>2</v>
      </c>
      <c r="I403" s="180"/>
      <c r="J403" s="181"/>
      <c r="K403" s="13">
        <v>100</v>
      </c>
      <c r="L403" s="3"/>
      <c r="M403" s="80" t="s">
        <v>11</v>
      </c>
      <c r="N403" s="76">
        <v>44422</v>
      </c>
    </row>
    <row r="404" spans="2:14" ht="15.75" x14ac:dyDescent="0.25">
      <c r="B404" s="4" t="s">
        <v>3</v>
      </c>
      <c r="C404" s="10">
        <v>7662</v>
      </c>
      <c r="D404" s="169" t="s">
        <v>57</v>
      </c>
      <c r="E404" s="170"/>
      <c r="F404" s="171"/>
      <c r="G404" s="18"/>
      <c r="H404" s="172" t="s">
        <v>4</v>
      </c>
      <c r="I404" s="173"/>
      <c r="J404" s="174"/>
      <c r="K404" s="10"/>
      <c r="L404" s="15"/>
      <c r="M404" s="15"/>
      <c r="N404" s="16"/>
    </row>
    <row r="405" spans="2:14" ht="15.75" x14ac:dyDescent="0.25">
      <c r="B405" s="4" t="s">
        <v>5</v>
      </c>
      <c r="C405" s="19"/>
      <c r="D405" s="169" t="s">
        <v>8</v>
      </c>
      <c r="E405" s="170"/>
      <c r="F405" s="171"/>
      <c r="G405" s="17">
        <v>0.36</v>
      </c>
      <c r="H405" s="172" t="s">
        <v>9</v>
      </c>
      <c r="I405" s="173"/>
      <c r="J405" s="174"/>
      <c r="K405" s="12">
        <v>1.18</v>
      </c>
      <c r="L405" s="172" t="s">
        <v>6</v>
      </c>
      <c r="M405" s="174"/>
      <c r="N405" s="20">
        <v>3.28</v>
      </c>
    </row>
    <row r="406" spans="2:14" ht="16.5" thickBot="1" x14ac:dyDescent="0.3">
      <c r="B406" s="5"/>
      <c r="C406" s="9"/>
      <c r="D406" s="9"/>
      <c r="E406" s="9"/>
      <c r="F406" s="9"/>
      <c r="G406" s="9"/>
      <c r="H406" s="79"/>
      <c r="I406" s="21"/>
      <c r="J406" s="21"/>
      <c r="K406" s="21"/>
      <c r="L406" s="21"/>
      <c r="M406" s="21"/>
      <c r="N406" s="6"/>
    </row>
    <row r="407" spans="2:14" ht="15.75" x14ac:dyDescent="0.25">
      <c r="B407" s="7" t="s">
        <v>7</v>
      </c>
      <c r="C407" s="1">
        <v>1</v>
      </c>
      <c r="D407" s="1">
        <v>2</v>
      </c>
      <c r="E407" s="1">
        <v>3</v>
      </c>
      <c r="F407" s="1">
        <v>4</v>
      </c>
      <c r="G407" s="1">
        <v>5</v>
      </c>
      <c r="H407" s="77">
        <v>6</v>
      </c>
      <c r="I407" s="160" t="s">
        <v>107</v>
      </c>
      <c r="J407" s="220"/>
      <c r="K407" s="220"/>
      <c r="L407" s="220"/>
      <c r="M407" s="220"/>
      <c r="N407" s="221"/>
    </row>
    <row r="408" spans="2:14" ht="15.75" x14ac:dyDescent="0.25">
      <c r="B408" s="87" t="s">
        <v>10</v>
      </c>
      <c r="C408" s="88"/>
      <c r="D408" s="88"/>
      <c r="E408" s="88"/>
      <c r="F408" s="88"/>
      <c r="G408" s="88"/>
      <c r="H408" s="89"/>
      <c r="I408" s="222"/>
      <c r="J408" s="223"/>
      <c r="K408" s="223"/>
      <c r="L408" s="223"/>
      <c r="M408" s="223"/>
      <c r="N408" s="224"/>
    </row>
    <row r="409" spans="2:14" ht="16.5" thickBot="1" x14ac:dyDescent="0.3">
      <c r="B409" s="90" t="s">
        <v>12</v>
      </c>
      <c r="C409" s="91"/>
      <c r="D409" s="91"/>
      <c r="E409" s="91"/>
      <c r="F409" s="91"/>
      <c r="G409" s="91"/>
      <c r="H409" s="92"/>
      <c r="I409" s="226"/>
      <c r="J409" s="226"/>
      <c r="K409" s="226"/>
      <c r="L409" s="226"/>
      <c r="M409" s="226"/>
      <c r="N409" s="227"/>
    </row>
    <row r="411" spans="2:14" ht="15.75" thickBot="1" x14ac:dyDescent="0.3"/>
    <row r="412" spans="2:14" ht="15.75" x14ac:dyDescent="0.25">
      <c r="B412" s="2" t="s">
        <v>0</v>
      </c>
      <c r="C412" s="175" t="s">
        <v>59</v>
      </c>
      <c r="D412" s="176"/>
      <c r="E412" s="177" t="s">
        <v>1</v>
      </c>
      <c r="F412" s="178"/>
      <c r="G412" s="11">
        <v>100</v>
      </c>
      <c r="H412" s="179" t="s">
        <v>2</v>
      </c>
      <c r="I412" s="180"/>
      <c r="J412" s="181"/>
      <c r="K412" s="13">
        <v>100</v>
      </c>
      <c r="L412" s="3"/>
      <c r="M412" s="80" t="s">
        <v>11</v>
      </c>
      <c r="N412" s="76">
        <v>44436</v>
      </c>
    </row>
    <row r="413" spans="2:14" ht="15.75" x14ac:dyDescent="0.25">
      <c r="B413" s="4" t="s">
        <v>3</v>
      </c>
      <c r="C413" s="10">
        <v>7662</v>
      </c>
      <c r="D413" s="169" t="s">
        <v>57</v>
      </c>
      <c r="E413" s="170"/>
      <c r="F413" s="171"/>
      <c r="G413" s="18">
        <v>9451</v>
      </c>
      <c r="H413" s="172" t="s">
        <v>4</v>
      </c>
      <c r="I413" s="173"/>
      <c r="J413" s="174"/>
      <c r="K413" s="10">
        <v>64</v>
      </c>
      <c r="L413" s="15"/>
      <c r="M413" s="15"/>
      <c r="N413" s="16"/>
    </row>
    <row r="414" spans="2:14" ht="15.75" x14ac:dyDescent="0.25">
      <c r="B414" s="4" t="s">
        <v>5</v>
      </c>
      <c r="C414" s="19">
        <v>71</v>
      </c>
      <c r="D414" s="169" t="s">
        <v>8</v>
      </c>
      <c r="E414" s="170"/>
      <c r="F414" s="171"/>
      <c r="G414" s="17">
        <v>0.36</v>
      </c>
      <c r="H414" s="172" t="s">
        <v>9</v>
      </c>
      <c r="I414" s="173"/>
      <c r="J414" s="174"/>
      <c r="K414" s="12">
        <v>0.9</v>
      </c>
      <c r="L414" s="172" t="s">
        <v>6</v>
      </c>
      <c r="M414" s="174"/>
      <c r="N414" s="20">
        <v>0.5</v>
      </c>
    </row>
    <row r="415" spans="2:14" ht="16.5" thickBot="1" x14ac:dyDescent="0.3">
      <c r="B415" s="5"/>
      <c r="C415" s="9"/>
      <c r="D415" s="9"/>
      <c r="E415" s="9"/>
      <c r="F415" s="9"/>
      <c r="G415" s="9"/>
      <c r="H415" s="79"/>
      <c r="I415" s="21"/>
      <c r="J415" s="21"/>
      <c r="K415" s="21"/>
      <c r="L415" s="21"/>
      <c r="M415" s="21"/>
      <c r="N415" s="6"/>
    </row>
    <row r="416" spans="2:14" ht="15.75" x14ac:dyDescent="0.25">
      <c r="B416" s="7" t="s">
        <v>7</v>
      </c>
      <c r="C416" s="1">
        <v>1</v>
      </c>
      <c r="D416" s="1">
        <v>2</v>
      </c>
      <c r="E416" s="1">
        <v>3</v>
      </c>
      <c r="F416" s="1">
        <v>4</v>
      </c>
      <c r="G416" s="1">
        <v>5</v>
      </c>
      <c r="H416" s="77">
        <v>6</v>
      </c>
      <c r="I416" s="160" t="s">
        <v>108</v>
      </c>
      <c r="J416" s="220"/>
      <c r="K416" s="220"/>
      <c r="L416" s="220"/>
      <c r="M416" s="220"/>
      <c r="N416" s="221"/>
    </row>
    <row r="417" spans="2:14" ht="16.5" thickBot="1" x14ac:dyDescent="0.3">
      <c r="B417" s="87" t="s">
        <v>10</v>
      </c>
      <c r="C417" s="14">
        <v>38</v>
      </c>
      <c r="D417" s="14">
        <v>34</v>
      </c>
      <c r="E417" s="14">
        <v>37</v>
      </c>
      <c r="F417" s="14">
        <v>36</v>
      </c>
      <c r="G417" s="14">
        <v>35</v>
      </c>
      <c r="H417" s="25">
        <v>36</v>
      </c>
      <c r="I417" s="222"/>
      <c r="J417" s="223"/>
      <c r="K417" s="223"/>
      <c r="L417" s="223"/>
      <c r="M417" s="223"/>
      <c r="N417" s="224"/>
    </row>
    <row r="418" spans="2:14" ht="16.5" thickBot="1" x14ac:dyDescent="0.3">
      <c r="B418" s="90" t="s">
        <v>12</v>
      </c>
      <c r="C418" s="73">
        <v>78</v>
      </c>
      <c r="D418" s="73">
        <v>62</v>
      </c>
      <c r="E418" s="73">
        <v>65</v>
      </c>
      <c r="F418" s="73">
        <v>62</v>
      </c>
      <c r="G418" s="73">
        <v>60</v>
      </c>
      <c r="H418" s="78">
        <v>72</v>
      </c>
      <c r="I418" s="226"/>
      <c r="J418" s="226"/>
      <c r="K418" s="226"/>
      <c r="L418" s="226"/>
      <c r="M418" s="226"/>
      <c r="N418" s="227"/>
    </row>
    <row r="420" spans="2:14" ht="15.75" thickBot="1" x14ac:dyDescent="0.3"/>
    <row r="421" spans="2:14" ht="15.75" x14ac:dyDescent="0.25">
      <c r="B421" s="2" t="s">
        <v>0</v>
      </c>
      <c r="C421" s="175" t="s">
        <v>59</v>
      </c>
      <c r="D421" s="176"/>
      <c r="E421" s="177" t="s">
        <v>1</v>
      </c>
      <c r="F421" s="178"/>
      <c r="G421" s="11">
        <v>100</v>
      </c>
      <c r="H421" s="179" t="s">
        <v>2</v>
      </c>
      <c r="I421" s="180"/>
      <c r="J421" s="181"/>
      <c r="K421" s="13">
        <v>100</v>
      </c>
      <c r="L421" s="3"/>
      <c r="M421" s="80" t="s">
        <v>11</v>
      </c>
      <c r="N421" s="76">
        <v>44443</v>
      </c>
    </row>
    <row r="422" spans="2:14" ht="15.75" x14ac:dyDescent="0.25">
      <c r="B422" s="4" t="s">
        <v>3</v>
      </c>
      <c r="C422" s="10">
        <v>7907</v>
      </c>
      <c r="D422" s="169" t="s">
        <v>57</v>
      </c>
      <c r="E422" s="170"/>
      <c r="F422" s="171"/>
      <c r="G422" s="18">
        <v>6544</v>
      </c>
      <c r="H422" s="172" t="s">
        <v>4</v>
      </c>
      <c r="I422" s="173"/>
      <c r="J422" s="174"/>
      <c r="K422" s="10">
        <v>56</v>
      </c>
      <c r="L422" s="15"/>
      <c r="M422" s="15"/>
      <c r="N422" s="16"/>
    </row>
    <row r="423" spans="2:14" ht="15.75" x14ac:dyDescent="0.25">
      <c r="B423" s="4" t="s">
        <v>5</v>
      </c>
      <c r="C423" s="19">
        <v>61</v>
      </c>
      <c r="D423" s="169" t="s">
        <v>8</v>
      </c>
      <c r="E423" s="170"/>
      <c r="F423" s="171"/>
      <c r="G423" s="17">
        <v>0.36</v>
      </c>
      <c r="H423" s="172" t="s">
        <v>9</v>
      </c>
      <c r="I423" s="173"/>
      <c r="J423" s="174"/>
      <c r="K423" s="12">
        <v>0.9</v>
      </c>
      <c r="L423" s="172" t="s">
        <v>6</v>
      </c>
      <c r="M423" s="174"/>
      <c r="N423" s="20">
        <v>0.5</v>
      </c>
    </row>
    <row r="424" spans="2:14" ht="16.5" thickBot="1" x14ac:dyDescent="0.3">
      <c r="B424" s="5"/>
      <c r="C424" s="9"/>
      <c r="D424" s="9"/>
      <c r="E424" s="9"/>
      <c r="F424" s="9"/>
      <c r="G424" s="9"/>
      <c r="H424" s="79"/>
      <c r="I424" s="21"/>
      <c r="J424" s="21"/>
      <c r="K424" s="21"/>
      <c r="L424" s="21"/>
      <c r="M424" s="21"/>
      <c r="N424" s="6"/>
    </row>
    <row r="425" spans="2:14" ht="15.75" x14ac:dyDescent="0.25">
      <c r="B425" s="7" t="s">
        <v>7</v>
      </c>
      <c r="C425" s="1">
        <v>1</v>
      </c>
      <c r="D425" s="1">
        <v>2</v>
      </c>
      <c r="E425" s="1">
        <v>3</v>
      </c>
      <c r="F425" s="1">
        <v>4</v>
      </c>
      <c r="G425" s="1">
        <v>5</v>
      </c>
      <c r="H425" s="77">
        <v>6</v>
      </c>
      <c r="I425" s="160" t="s">
        <v>109</v>
      </c>
      <c r="J425" s="220"/>
      <c r="K425" s="220"/>
      <c r="L425" s="220"/>
      <c r="M425" s="220"/>
      <c r="N425" s="221"/>
    </row>
    <row r="426" spans="2:14" ht="16.5" thickBot="1" x14ac:dyDescent="0.3">
      <c r="B426" s="87" t="s">
        <v>10</v>
      </c>
      <c r="C426" s="14">
        <v>28</v>
      </c>
      <c r="D426" s="14">
        <v>23</v>
      </c>
      <c r="E426" s="14">
        <v>22</v>
      </c>
      <c r="F426" s="14">
        <v>21</v>
      </c>
      <c r="G426" s="14">
        <v>23</v>
      </c>
      <c r="H426" s="25">
        <v>22</v>
      </c>
      <c r="I426" s="222"/>
      <c r="J426" s="223"/>
      <c r="K426" s="223"/>
      <c r="L426" s="223"/>
      <c r="M426" s="223"/>
      <c r="N426" s="224"/>
    </row>
    <row r="427" spans="2:14" ht="16.5" thickBot="1" x14ac:dyDescent="0.3">
      <c r="B427" s="90" t="s">
        <v>12</v>
      </c>
      <c r="C427" s="73">
        <v>60</v>
      </c>
      <c r="D427" s="73">
        <v>58</v>
      </c>
      <c r="E427" s="73">
        <v>58</v>
      </c>
      <c r="F427" s="73">
        <v>56</v>
      </c>
      <c r="G427" s="73">
        <v>58</v>
      </c>
      <c r="H427" s="78">
        <v>55</v>
      </c>
      <c r="I427" s="226"/>
      <c r="J427" s="226"/>
      <c r="K427" s="226"/>
      <c r="L427" s="226"/>
      <c r="M427" s="226"/>
      <c r="N427" s="227"/>
    </row>
    <row r="429" spans="2:14" ht="15.75" thickBot="1" x14ac:dyDescent="0.3"/>
    <row r="430" spans="2:14" ht="15.75" x14ac:dyDescent="0.25">
      <c r="B430" s="2" t="s">
        <v>0</v>
      </c>
      <c r="C430" s="175" t="s">
        <v>59</v>
      </c>
      <c r="D430" s="176"/>
      <c r="E430" s="177" t="s">
        <v>1</v>
      </c>
      <c r="F430" s="178"/>
      <c r="G430" s="11">
        <v>100</v>
      </c>
      <c r="H430" s="179" t="s">
        <v>2</v>
      </c>
      <c r="I430" s="180"/>
      <c r="J430" s="181"/>
      <c r="K430" s="13">
        <v>100</v>
      </c>
      <c r="L430" s="3"/>
      <c r="M430" s="80" t="s">
        <v>11</v>
      </c>
      <c r="N430" s="76">
        <v>44450</v>
      </c>
    </row>
    <row r="431" spans="2:14" ht="15.75" x14ac:dyDescent="0.25">
      <c r="B431" s="4" t="s">
        <v>3</v>
      </c>
      <c r="C431" s="10">
        <v>7961</v>
      </c>
      <c r="D431" s="169" t="s">
        <v>57</v>
      </c>
      <c r="E431" s="170"/>
      <c r="F431" s="171"/>
      <c r="G431" s="18"/>
      <c r="H431" s="172" t="s">
        <v>4</v>
      </c>
      <c r="I431" s="173"/>
      <c r="J431" s="174"/>
      <c r="K431" s="10"/>
      <c r="L431" s="15"/>
      <c r="M431" s="15"/>
      <c r="N431" s="16"/>
    </row>
    <row r="432" spans="2:14" ht="15.75" x14ac:dyDescent="0.25">
      <c r="B432" s="4" t="s">
        <v>5</v>
      </c>
      <c r="C432" s="19"/>
      <c r="D432" s="169" t="s">
        <v>8</v>
      </c>
      <c r="E432" s="170"/>
      <c r="F432" s="171"/>
      <c r="G432" s="17">
        <v>0.36</v>
      </c>
      <c r="H432" s="172" t="s">
        <v>9</v>
      </c>
      <c r="I432" s="173"/>
      <c r="J432" s="174"/>
      <c r="K432" s="12">
        <v>0.9</v>
      </c>
      <c r="L432" s="172" t="s">
        <v>6</v>
      </c>
      <c r="M432" s="174"/>
      <c r="N432" s="20">
        <v>0.5</v>
      </c>
    </row>
    <row r="433" spans="2:14" ht="16.5" thickBot="1" x14ac:dyDescent="0.3">
      <c r="B433" s="5"/>
      <c r="C433" s="9"/>
      <c r="D433" s="9"/>
      <c r="E433" s="9"/>
      <c r="F433" s="9"/>
      <c r="G433" s="9"/>
      <c r="H433" s="79"/>
      <c r="I433" s="21"/>
      <c r="J433" s="21"/>
      <c r="K433" s="21"/>
      <c r="L433" s="21"/>
      <c r="M433" s="21"/>
      <c r="N433" s="6"/>
    </row>
    <row r="434" spans="2:14" ht="15.75" x14ac:dyDescent="0.25">
      <c r="B434" s="7" t="s">
        <v>7</v>
      </c>
      <c r="C434" s="1">
        <v>1</v>
      </c>
      <c r="D434" s="1">
        <v>2</v>
      </c>
      <c r="E434" s="1">
        <v>3</v>
      </c>
      <c r="F434" s="1">
        <v>4</v>
      </c>
      <c r="G434" s="1">
        <v>5</v>
      </c>
      <c r="H434" s="77">
        <v>6</v>
      </c>
      <c r="I434" s="160" t="s">
        <v>110</v>
      </c>
      <c r="J434" s="220"/>
      <c r="K434" s="220"/>
      <c r="L434" s="220"/>
      <c r="M434" s="220"/>
      <c r="N434" s="221"/>
    </row>
    <row r="435" spans="2:14" ht="16.5" thickBot="1" x14ac:dyDescent="0.3">
      <c r="B435" s="87" t="s">
        <v>10</v>
      </c>
      <c r="C435" s="14"/>
      <c r="D435" s="14"/>
      <c r="E435" s="14"/>
      <c r="F435" s="14"/>
      <c r="G435" s="14"/>
      <c r="H435" s="25"/>
      <c r="I435" s="222"/>
      <c r="J435" s="223"/>
      <c r="K435" s="223"/>
      <c r="L435" s="223"/>
      <c r="M435" s="223"/>
      <c r="N435" s="224"/>
    </row>
    <row r="436" spans="2:14" ht="16.5" thickBot="1" x14ac:dyDescent="0.3">
      <c r="B436" s="90" t="s">
        <v>12</v>
      </c>
      <c r="C436" s="73"/>
      <c r="D436" s="73"/>
      <c r="E436" s="73"/>
      <c r="F436" s="73"/>
      <c r="G436" s="73"/>
      <c r="H436" s="78"/>
      <c r="I436" s="226"/>
      <c r="J436" s="226"/>
      <c r="K436" s="226"/>
      <c r="L436" s="226"/>
      <c r="M436" s="226"/>
      <c r="N436" s="227"/>
    </row>
    <row r="439" spans="2:14" ht="15.75" thickBot="1" x14ac:dyDescent="0.3"/>
    <row r="440" spans="2:14" ht="15.75" x14ac:dyDescent="0.25">
      <c r="B440" s="2" t="s">
        <v>0</v>
      </c>
      <c r="C440" s="175" t="s">
        <v>59</v>
      </c>
      <c r="D440" s="176"/>
      <c r="E440" s="177" t="s">
        <v>1</v>
      </c>
      <c r="F440" s="178"/>
      <c r="G440" s="11">
        <v>100</v>
      </c>
      <c r="H440" s="179" t="s">
        <v>2</v>
      </c>
      <c r="I440" s="180"/>
      <c r="J440" s="181"/>
      <c r="K440" s="13">
        <v>100</v>
      </c>
      <c r="L440" s="3"/>
      <c r="M440" s="80" t="s">
        <v>11</v>
      </c>
      <c r="N440" s="76">
        <v>44457</v>
      </c>
    </row>
    <row r="441" spans="2:14" ht="15.75" x14ac:dyDescent="0.25">
      <c r="B441" s="4" t="s">
        <v>3</v>
      </c>
      <c r="C441" s="10">
        <v>8121</v>
      </c>
      <c r="D441" s="169" t="s">
        <v>57</v>
      </c>
      <c r="E441" s="170"/>
      <c r="F441" s="171"/>
      <c r="G441" s="18">
        <v>6324</v>
      </c>
      <c r="H441" s="172" t="s">
        <v>4</v>
      </c>
      <c r="I441" s="173"/>
      <c r="J441" s="174"/>
      <c r="K441" s="10">
        <v>56</v>
      </c>
      <c r="L441" s="15"/>
      <c r="M441" s="15"/>
      <c r="N441" s="16"/>
    </row>
    <row r="442" spans="2:14" ht="15.75" x14ac:dyDescent="0.25">
      <c r="B442" s="4" t="s">
        <v>5</v>
      </c>
      <c r="C442" s="19">
        <v>63</v>
      </c>
      <c r="D442" s="169" t="s">
        <v>8</v>
      </c>
      <c r="E442" s="170"/>
      <c r="F442" s="171"/>
      <c r="G442" s="17">
        <v>0.36</v>
      </c>
      <c r="H442" s="172" t="s">
        <v>9</v>
      </c>
      <c r="I442" s="173"/>
      <c r="J442" s="174"/>
      <c r="K442" s="12">
        <v>0.9</v>
      </c>
      <c r="L442" s="172" t="s">
        <v>6</v>
      </c>
      <c r="M442" s="174"/>
      <c r="N442" s="20">
        <v>0.46</v>
      </c>
    </row>
    <row r="443" spans="2:14" ht="16.5" thickBot="1" x14ac:dyDescent="0.3">
      <c r="B443" s="5"/>
      <c r="C443" s="9"/>
      <c r="D443" s="9"/>
      <c r="E443" s="9"/>
      <c r="F443" s="9"/>
      <c r="G443" s="9"/>
      <c r="H443" s="79"/>
      <c r="I443" s="21"/>
      <c r="J443" s="21"/>
      <c r="K443" s="21"/>
      <c r="L443" s="21"/>
      <c r="M443" s="21"/>
      <c r="N443" s="6"/>
    </row>
    <row r="444" spans="2:14" ht="15.75" x14ac:dyDescent="0.25">
      <c r="B444" s="7" t="s">
        <v>7</v>
      </c>
      <c r="C444" s="1">
        <v>1</v>
      </c>
      <c r="D444" s="1">
        <v>2</v>
      </c>
      <c r="E444" s="1">
        <v>3</v>
      </c>
      <c r="F444" s="1">
        <v>4</v>
      </c>
      <c r="G444" s="1">
        <v>5</v>
      </c>
      <c r="H444" s="77">
        <v>6</v>
      </c>
      <c r="I444" s="160" t="s">
        <v>111</v>
      </c>
      <c r="J444" s="220"/>
      <c r="K444" s="220"/>
      <c r="L444" s="220"/>
      <c r="M444" s="220"/>
      <c r="N444" s="221"/>
    </row>
    <row r="445" spans="2:14" ht="16.5" thickBot="1" x14ac:dyDescent="0.3">
      <c r="B445" s="87" t="s">
        <v>10</v>
      </c>
      <c r="C445" s="14">
        <v>26</v>
      </c>
      <c r="D445" s="14">
        <v>22</v>
      </c>
      <c r="E445" s="14">
        <v>21</v>
      </c>
      <c r="F445" s="14">
        <v>21</v>
      </c>
      <c r="G445" s="14">
        <v>22</v>
      </c>
      <c r="H445" s="25">
        <v>21</v>
      </c>
      <c r="I445" s="222"/>
      <c r="J445" s="223"/>
      <c r="K445" s="223"/>
      <c r="L445" s="223"/>
      <c r="M445" s="223"/>
      <c r="N445" s="224"/>
    </row>
    <row r="446" spans="2:14" ht="16.5" thickBot="1" x14ac:dyDescent="0.3">
      <c r="B446" s="90" t="s">
        <v>12</v>
      </c>
      <c r="C446" s="73">
        <v>54</v>
      </c>
      <c r="D446" s="73">
        <v>52</v>
      </c>
      <c r="E446" s="73">
        <v>52</v>
      </c>
      <c r="F446" s="73">
        <v>50</v>
      </c>
      <c r="G446" s="73">
        <v>52</v>
      </c>
      <c r="H446" s="78">
        <v>51</v>
      </c>
      <c r="I446" s="226"/>
      <c r="J446" s="226"/>
      <c r="K446" s="226"/>
      <c r="L446" s="226"/>
      <c r="M446" s="226"/>
      <c r="N446" s="227"/>
    </row>
    <row r="449" spans="2:14" ht="15.75" thickBot="1" x14ac:dyDescent="0.3"/>
    <row r="450" spans="2:14" ht="15.75" x14ac:dyDescent="0.25">
      <c r="B450" s="2" t="s">
        <v>0</v>
      </c>
      <c r="C450" s="175" t="s">
        <v>59</v>
      </c>
      <c r="D450" s="176"/>
      <c r="E450" s="177" t="s">
        <v>1</v>
      </c>
      <c r="F450" s="178"/>
      <c r="G450" s="11">
        <v>100</v>
      </c>
      <c r="H450" s="179" t="s">
        <v>2</v>
      </c>
      <c r="I450" s="180"/>
      <c r="J450" s="181"/>
      <c r="K450" s="13">
        <v>100</v>
      </c>
      <c r="L450" s="3"/>
      <c r="M450" s="80" t="s">
        <v>11</v>
      </c>
      <c r="N450" s="76">
        <v>44464</v>
      </c>
    </row>
    <row r="451" spans="2:14" ht="15.75" x14ac:dyDescent="0.25">
      <c r="B451" s="4" t="s">
        <v>3</v>
      </c>
      <c r="C451" s="10">
        <v>8264</v>
      </c>
      <c r="D451" s="169" t="s">
        <v>57</v>
      </c>
      <c r="E451" s="170"/>
      <c r="F451" s="171"/>
      <c r="G451" s="18"/>
      <c r="H451" s="172" t="s">
        <v>4</v>
      </c>
      <c r="I451" s="173"/>
      <c r="J451" s="174"/>
      <c r="K451" s="10"/>
      <c r="L451" s="15"/>
      <c r="M451" s="15"/>
      <c r="N451" s="16"/>
    </row>
    <row r="452" spans="2:14" ht="15.75" x14ac:dyDescent="0.25">
      <c r="B452" s="4" t="s">
        <v>5</v>
      </c>
      <c r="C452" s="19"/>
      <c r="D452" s="169" t="s">
        <v>8</v>
      </c>
      <c r="E452" s="170"/>
      <c r="F452" s="171"/>
      <c r="G452" s="17">
        <v>0.36</v>
      </c>
      <c r="H452" s="172" t="s">
        <v>9</v>
      </c>
      <c r="I452" s="173"/>
      <c r="J452" s="174"/>
      <c r="K452" s="12">
        <v>0.9</v>
      </c>
      <c r="L452" s="172" t="s">
        <v>6</v>
      </c>
      <c r="M452" s="174"/>
      <c r="N452" s="20">
        <v>0.46</v>
      </c>
    </row>
    <row r="453" spans="2:14" ht="16.5" thickBot="1" x14ac:dyDescent="0.3">
      <c r="B453" s="5"/>
      <c r="C453" s="9"/>
      <c r="D453" s="9"/>
      <c r="E453" s="9"/>
      <c r="F453" s="9"/>
      <c r="G453" s="9"/>
      <c r="H453" s="79"/>
      <c r="I453" s="21"/>
      <c r="J453" s="21"/>
      <c r="K453" s="21"/>
      <c r="L453" s="21"/>
      <c r="M453" s="21"/>
      <c r="N453" s="6"/>
    </row>
    <row r="454" spans="2:14" ht="15.75" x14ac:dyDescent="0.25">
      <c r="B454" s="7" t="s">
        <v>7</v>
      </c>
      <c r="C454" s="1">
        <v>1</v>
      </c>
      <c r="D454" s="1">
        <v>2</v>
      </c>
      <c r="E454" s="1">
        <v>3</v>
      </c>
      <c r="F454" s="1">
        <v>4</v>
      </c>
      <c r="G454" s="1">
        <v>5</v>
      </c>
      <c r="H454" s="77">
        <v>6</v>
      </c>
      <c r="I454" s="160" t="s">
        <v>112</v>
      </c>
      <c r="J454" s="220"/>
      <c r="K454" s="220"/>
      <c r="L454" s="220"/>
      <c r="M454" s="220"/>
      <c r="N454" s="221"/>
    </row>
    <row r="455" spans="2:14" ht="16.5" thickBot="1" x14ac:dyDescent="0.3">
      <c r="B455" s="87" t="s">
        <v>10</v>
      </c>
      <c r="C455" s="14"/>
      <c r="D455" s="14"/>
      <c r="E455" s="14"/>
      <c r="F455" s="14"/>
      <c r="G455" s="14"/>
      <c r="H455" s="25"/>
      <c r="I455" s="222"/>
      <c r="J455" s="223"/>
      <c r="K455" s="223"/>
      <c r="L455" s="223"/>
      <c r="M455" s="223"/>
      <c r="N455" s="224"/>
    </row>
    <row r="456" spans="2:14" ht="16.5" thickBot="1" x14ac:dyDescent="0.3">
      <c r="B456" s="90" t="s">
        <v>12</v>
      </c>
      <c r="C456" s="73"/>
      <c r="D456" s="73"/>
      <c r="E456" s="73"/>
      <c r="F456" s="73"/>
      <c r="G456" s="73"/>
      <c r="H456" s="78"/>
      <c r="I456" s="226"/>
      <c r="J456" s="226"/>
      <c r="K456" s="226"/>
      <c r="L456" s="226"/>
      <c r="M456" s="226"/>
      <c r="N456" s="227"/>
    </row>
    <row r="458" spans="2:14" ht="15.75" thickBot="1" x14ac:dyDescent="0.3"/>
    <row r="459" spans="2:14" ht="15.75" x14ac:dyDescent="0.25">
      <c r="B459" s="2" t="s">
        <v>0</v>
      </c>
      <c r="C459" s="175" t="s">
        <v>59</v>
      </c>
      <c r="D459" s="176"/>
      <c r="E459" s="177" t="s">
        <v>1</v>
      </c>
      <c r="F459" s="178"/>
      <c r="G459" s="11">
        <v>100</v>
      </c>
      <c r="H459" s="179" t="s">
        <v>2</v>
      </c>
      <c r="I459" s="180"/>
      <c r="J459" s="181"/>
      <c r="K459" s="13">
        <v>100</v>
      </c>
      <c r="L459" s="3"/>
      <c r="M459" s="80" t="s">
        <v>11</v>
      </c>
      <c r="N459" s="76">
        <v>44471</v>
      </c>
    </row>
    <row r="460" spans="2:14" ht="15.75" x14ac:dyDescent="0.25">
      <c r="B460" s="4" t="s">
        <v>3</v>
      </c>
      <c r="C460" s="10">
        <v>8264</v>
      </c>
      <c r="D460" s="169" t="s">
        <v>57</v>
      </c>
      <c r="E460" s="170"/>
      <c r="F460" s="171"/>
      <c r="G460" s="18"/>
      <c r="H460" s="172" t="s">
        <v>4</v>
      </c>
      <c r="I460" s="173"/>
      <c r="J460" s="174"/>
      <c r="K460" s="10"/>
      <c r="L460" s="15"/>
      <c r="M460" s="15"/>
      <c r="N460" s="16"/>
    </row>
    <row r="461" spans="2:14" ht="15.75" x14ac:dyDescent="0.25">
      <c r="B461" s="4" t="s">
        <v>5</v>
      </c>
      <c r="C461" s="19"/>
      <c r="D461" s="169" t="s">
        <v>8</v>
      </c>
      <c r="E461" s="170"/>
      <c r="F461" s="171"/>
      <c r="G461" s="17">
        <v>0.36</v>
      </c>
      <c r="H461" s="172" t="s">
        <v>9</v>
      </c>
      <c r="I461" s="173"/>
      <c r="J461" s="174"/>
      <c r="K461" s="12">
        <v>0.9</v>
      </c>
      <c r="L461" s="172" t="s">
        <v>6</v>
      </c>
      <c r="M461" s="174"/>
      <c r="N461" s="20">
        <v>0.46</v>
      </c>
    </row>
    <row r="462" spans="2:14" ht="16.5" thickBot="1" x14ac:dyDescent="0.3">
      <c r="B462" s="5"/>
      <c r="C462" s="9"/>
      <c r="D462" s="9"/>
      <c r="E462" s="9"/>
      <c r="F462" s="9"/>
      <c r="G462" s="9"/>
      <c r="H462" s="79"/>
      <c r="I462" s="21"/>
      <c r="J462" s="21"/>
      <c r="K462" s="21"/>
      <c r="L462" s="21"/>
      <c r="M462" s="21"/>
      <c r="N462" s="6"/>
    </row>
    <row r="463" spans="2:14" ht="15.75" x14ac:dyDescent="0.25">
      <c r="B463" s="7" t="s">
        <v>7</v>
      </c>
      <c r="C463" s="1">
        <v>1</v>
      </c>
      <c r="D463" s="1">
        <v>2</v>
      </c>
      <c r="E463" s="1">
        <v>3</v>
      </c>
      <c r="F463" s="1">
        <v>4</v>
      </c>
      <c r="G463" s="1">
        <v>5</v>
      </c>
      <c r="H463" s="77">
        <v>6</v>
      </c>
      <c r="I463" s="160" t="s">
        <v>113</v>
      </c>
      <c r="J463" s="220"/>
      <c r="K463" s="220"/>
      <c r="L463" s="220"/>
      <c r="M463" s="220"/>
      <c r="N463" s="221"/>
    </row>
    <row r="464" spans="2:14" ht="15.75" x14ac:dyDescent="0.25">
      <c r="B464" s="87" t="s">
        <v>10</v>
      </c>
      <c r="C464" s="19"/>
      <c r="D464" s="19"/>
      <c r="E464" s="19"/>
      <c r="F464" s="19"/>
      <c r="G464" s="19"/>
      <c r="H464" s="95"/>
      <c r="I464" s="222"/>
      <c r="J464" s="223"/>
      <c r="K464" s="223"/>
      <c r="L464" s="223"/>
      <c r="M464" s="223"/>
      <c r="N464" s="224"/>
    </row>
    <row r="465" spans="2:14" ht="16.5" thickBot="1" x14ac:dyDescent="0.3">
      <c r="B465" s="94" t="s">
        <v>12</v>
      </c>
      <c r="C465" s="93"/>
      <c r="D465" s="93"/>
      <c r="E465" s="93"/>
      <c r="F465" s="93"/>
      <c r="G465" s="93"/>
      <c r="H465" s="96"/>
      <c r="I465" s="225"/>
      <c r="J465" s="226"/>
      <c r="K465" s="226"/>
      <c r="L465" s="226"/>
      <c r="M465" s="226"/>
      <c r="N465" s="227"/>
    </row>
    <row r="467" spans="2:14" ht="15.75" thickBot="1" x14ac:dyDescent="0.3"/>
    <row r="468" spans="2:14" ht="15.75" x14ac:dyDescent="0.25">
      <c r="B468" s="2" t="s">
        <v>0</v>
      </c>
      <c r="C468" s="175" t="s">
        <v>59</v>
      </c>
      <c r="D468" s="176"/>
      <c r="E468" s="177" t="s">
        <v>1</v>
      </c>
      <c r="F468" s="178"/>
      <c r="G468" s="11">
        <v>100</v>
      </c>
      <c r="H468" s="179" t="s">
        <v>2</v>
      </c>
      <c r="I468" s="180"/>
      <c r="J468" s="181"/>
      <c r="K468" s="13">
        <v>100</v>
      </c>
      <c r="L468" s="3"/>
      <c r="M468" s="80" t="s">
        <v>11</v>
      </c>
      <c r="N468" s="76">
        <v>44478</v>
      </c>
    </row>
    <row r="469" spans="2:14" ht="15.75" x14ac:dyDescent="0.25">
      <c r="B469" s="4" t="s">
        <v>3</v>
      </c>
      <c r="C469" s="10">
        <v>8264</v>
      </c>
      <c r="D469" s="169" t="s">
        <v>57</v>
      </c>
      <c r="E469" s="170"/>
      <c r="F469" s="171"/>
      <c r="G469" s="18"/>
      <c r="H469" s="172" t="s">
        <v>4</v>
      </c>
      <c r="I469" s="173"/>
      <c r="J469" s="174"/>
      <c r="K469" s="10"/>
      <c r="L469" s="15"/>
      <c r="M469" s="15"/>
      <c r="N469" s="16"/>
    </row>
    <row r="470" spans="2:14" ht="15.75" x14ac:dyDescent="0.25">
      <c r="B470" s="4" t="s">
        <v>5</v>
      </c>
      <c r="C470" s="19"/>
      <c r="D470" s="169" t="s">
        <v>8</v>
      </c>
      <c r="E470" s="170"/>
      <c r="F470" s="171"/>
      <c r="G470" s="17">
        <v>0.36</v>
      </c>
      <c r="H470" s="172" t="s">
        <v>9</v>
      </c>
      <c r="I470" s="173"/>
      <c r="J470" s="174"/>
      <c r="K470" s="12">
        <v>0.9</v>
      </c>
      <c r="L470" s="172" t="s">
        <v>6</v>
      </c>
      <c r="M470" s="174"/>
      <c r="N470" s="20">
        <v>0.46</v>
      </c>
    </row>
    <row r="471" spans="2:14" ht="16.5" thickBot="1" x14ac:dyDescent="0.3">
      <c r="B471" s="5"/>
      <c r="C471" s="9"/>
      <c r="D471" s="9"/>
      <c r="E471" s="9"/>
      <c r="F471" s="9"/>
      <c r="G471" s="9"/>
      <c r="H471" s="79"/>
      <c r="I471" s="21"/>
      <c r="J471" s="21"/>
      <c r="K471" s="21"/>
      <c r="L471" s="21"/>
      <c r="M471" s="21"/>
      <c r="N471" s="6"/>
    </row>
    <row r="472" spans="2:14" ht="15.75" x14ac:dyDescent="0.25">
      <c r="B472" s="7" t="s">
        <v>7</v>
      </c>
      <c r="C472" s="1">
        <v>1</v>
      </c>
      <c r="D472" s="1">
        <v>2</v>
      </c>
      <c r="E472" s="1">
        <v>3</v>
      </c>
      <c r="F472" s="1">
        <v>4</v>
      </c>
      <c r="G472" s="1">
        <v>5</v>
      </c>
      <c r="H472" s="77">
        <v>6</v>
      </c>
      <c r="I472" s="160" t="s">
        <v>114</v>
      </c>
      <c r="J472" s="220"/>
      <c r="K472" s="220"/>
      <c r="L472" s="220"/>
      <c r="M472" s="220"/>
      <c r="N472" s="221"/>
    </row>
    <row r="473" spans="2:14" ht="15.75" x14ac:dyDescent="0.25">
      <c r="B473" s="87" t="s">
        <v>10</v>
      </c>
      <c r="C473" s="19"/>
      <c r="D473" s="19"/>
      <c r="E473" s="19"/>
      <c r="F473" s="19"/>
      <c r="G473" s="19"/>
      <c r="H473" s="95"/>
      <c r="I473" s="222"/>
      <c r="J473" s="223"/>
      <c r="K473" s="223"/>
      <c r="L473" s="223"/>
      <c r="M473" s="223"/>
      <c r="N473" s="224"/>
    </row>
    <row r="474" spans="2:14" ht="16.5" thickBot="1" x14ac:dyDescent="0.3">
      <c r="B474" s="94" t="s">
        <v>12</v>
      </c>
      <c r="C474" s="93"/>
      <c r="D474" s="93"/>
      <c r="E474" s="93"/>
      <c r="F474" s="93"/>
      <c r="G474" s="93"/>
      <c r="H474" s="96"/>
      <c r="I474" s="225"/>
      <c r="J474" s="226"/>
      <c r="K474" s="226"/>
      <c r="L474" s="226"/>
      <c r="M474" s="226"/>
      <c r="N474" s="227"/>
    </row>
    <row r="476" spans="2:14" ht="15.75" thickBot="1" x14ac:dyDescent="0.3"/>
    <row r="477" spans="2:14" ht="15.75" x14ac:dyDescent="0.25">
      <c r="B477" s="2" t="s">
        <v>0</v>
      </c>
      <c r="C477" s="175" t="s">
        <v>59</v>
      </c>
      <c r="D477" s="176"/>
      <c r="E477" s="177" t="s">
        <v>1</v>
      </c>
      <c r="F477" s="178"/>
      <c r="G477" s="11">
        <v>100</v>
      </c>
      <c r="H477" s="179" t="s">
        <v>2</v>
      </c>
      <c r="I477" s="180"/>
      <c r="J477" s="181"/>
      <c r="K477" s="13">
        <v>100</v>
      </c>
      <c r="L477" s="3"/>
      <c r="M477" s="80" t="s">
        <v>11</v>
      </c>
      <c r="N477" s="76">
        <v>44485</v>
      </c>
    </row>
    <row r="478" spans="2:14" ht="15.75" x14ac:dyDescent="0.25">
      <c r="B478" s="4" t="s">
        <v>3</v>
      </c>
      <c r="C478" s="10">
        <v>8264</v>
      </c>
      <c r="D478" s="169" t="s">
        <v>57</v>
      </c>
      <c r="E478" s="170"/>
      <c r="F478" s="171"/>
      <c r="G478" s="18"/>
      <c r="H478" s="172" t="s">
        <v>4</v>
      </c>
      <c r="I478" s="173"/>
      <c r="J478" s="174"/>
      <c r="K478" s="10"/>
      <c r="L478" s="15"/>
      <c r="M478" s="15"/>
      <c r="N478" s="16"/>
    </row>
    <row r="479" spans="2:14" ht="15.75" x14ac:dyDescent="0.25">
      <c r="B479" s="4" t="s">
        <v>5</v>
      </c>
      <c r="C479" s="19"/>
      <c r="D479" s="169" t="s">
        <v>8</v>
      </c>
      <c r="E479" s="170"/>
      <c r="F479" s="171"/>
      <c r="G479" s="17">
        <v>0.36</v>
      </c>
      <c r="H479" s="172" t="s">
        <v>9</v>
      </c>
      <c r="I479" s="173"/>
      <c r="J479" s="174"/>
      <c r="K479" s="12">
        <v>0.9</v>
      </c>
      <c r="L479" s="172" t="s">
        <v>6</v>
      </c>
      <c r="M479" s="174"/>
      <c r="N479" s="20">
        <v>0.46</v>
      </c>
    </row>
    <row r="480" spans="2:14" ht="16.5" thickBot="1" x14ac:dyDescent="0.3">
      <c r="B480" s="5"/>
      <c r="C480" s="9"/>
      <c r="D480" s="9"/>
      <c r="E480" s="9"/>
      <c r="F480" s="9"/>
      <c r="G480" s="9"/>
      <c r="H480" s="79"/>
      <c r="I480" s="21"/>
      <c r="J480" s="21"/>
      <c r="K480" s="21"/>
      <c r="L480" s="21"/>
      <c r="M480" s="21"/>
      <c r="N480" s="6"/>
    </row>
    <row r="481" spans="2:14" ht="15.75" x14ac:dyDescent="0.25">
      <c r="B481" s="7" t="s">
        <v>7</v>
      </c>
      <c r="C481" s="1">
        <v>1</v>
      </c>
      <c r="D481" s="1">
        <v>2</v>
      </c>
      <c r="E481" s="1">
        <v>3</v>
      </c>
      <c r="F481" s="1">
        <v>4</v>
      </c>
      <c r="G481" s="1">
        <v>5</v>
      </c>
      <c r="H481" s="77">
        <v>6</v>
      </c>
      <c r="I481" s="160" t="s">
        <v>115</v>
      </c>
      <c r="J481" s="220"/>
      <c r="K481" s="220"/>
      <c r="L481" s="220"/>
      <c r="M481" s="220"/>
      <c r="N481" s="221"/>
    </row>
    <row r="482" spans="2:14" ht="15.75" x14ac:dyDescent="0.25">
      <c r="B482" s="87" t="s">
        <v>10</v>
      </c>
      <c r="C482" s="19"/>
      <c r="D482" s="19"/>
      <c r="E482" s="19"/>
      <c r="F482" s="19"/>
      <c r="G482" s="19"/>
      <c r="H482" s="95"/>
      <c r="I482" s="222"/>
      <c r="J482" s="223"/>
      <c r="K482" s="223"/>
      <c r="L482" s="223"/>
      <c r="M482" s="223"/>
      <c r="N482" s="224"/>
    </row>
    <row r="483" spans="2:14" ht="16.5" thickBot="1" x14ac:dyDescent="0.3">
      <c r="B483" s="94" t="s">
        <v>12</v>
      </c>
      <c r="C483" s="93"/>
      <c r="D483" s="93"/>
      <c r="E483" s="93"/>
      <c r="F483" s="93"/>
      <c r="G483" s="93"/>
      <c r="H483" s="96"/>
      <c r="I483" s="225"/>
      <c r="J483" s="226"/>
      <c r="K483" s="226"/>
      <c r="L483" s="226"/>
      <c r="M483" s="226"/>
      <c r="N483" s="227"/>
    </row>
    <row r="485" spans="2:14" ht="15.75" thickBot="1" x14ac:dyDescent="0.3"/>
    <row r="486" spans="2:14" ht="15.75" x14ac:dyDescent="0.25">
      <c r="B486" s="2" t="s">
        <v>0</v>
      </c>
      <c r="C486" s="175" t="s">
        <v>59</v>
      </c>
      <c r="D486" s="176"/>
      <c r="E486" s="177" t="s">
        <v>1</v>
      </c>
      <c r="F486" s="178"/>
      <c r="G486" s="11">
        <v>100</v>
      </c>
      <c r="H486" s="179" t="s">
        <v>2</v>
      </c>
      <c r="I486" s="180"/>
      <c r="J486" s="181"/>
      <c r="K486" s="13">
        <v>100</v>
      </c>
      <c r="L486" s="3"/>
      <c r="M486" s="80" t="s">
        <v>11</v>
      </c>
      <c r="N486" s="76">
        <v>44493</v>
      </c>
    </row>
    <row r="487" spans="2:14" ht="15.75" x14ac:dyDescent="0.25">
      <c r="B487" s="4" t="s">
        <v>3</v>
      </c>
      <c r="C487" s="10">
        <v>8376</v>
      </c>
      <c r="D487" s="169" t="s">
        <v>57</v>
      </c>
      <c r="E487" s="170"/>
      <c r="F487" s="171"/>
      <c r="G487" s="18">
        <v>9564</v>
      </c>
      <c r="H487" s="172" t="s">
        <v>4</v>
      </c>
      <c r="I487" s="173"/>
      <c r="J487" s="174"/>
      <c r="K487" s="10">
        <v>64</v>
      </c>
      <c r="L487" s="15"/>
      <c r="M487" s="15"/>
      <c r="N487" s="16"/>
    </row>
    <row r="488" spans="2:14" ht="15.75" x14ac:dyDescent="0.25">
      <c r="B488" s="4" t="s">
        <v>5</v>
      </c>
      <c r="C488" s="19">
        <v>78</v>
      </c>
      <c r="D488" s="169" t="s">
        <v>8</v>
      </c>
      <c r="E488" s="170"/>
      <c r="F488" s="171"/>
      <c r="G488" s="17">
        <v>0.36</v>
      </c>
      <c r="H488" s="172" t="s">
        <v>9</v>
      </c>
      <c r="I488" s="173"/>
      <c r="J488" s="174"/>
      <c r="K488" s="12">
        <v>0.9</v>
      </c>
      <c r="L488" s="172" t="s">
        <v>6</v>
      </c>
      <c r="M488" s="174"/>
      <c r="N488" s="20">
        <v>0.46</v>
      </c>
    </row>
    <row r="489" spans="2:14" ht="16.5" thickBot="1" x14ac:dyDescent="0.3">
      <c r="B489" s="5"/>
      <c r="C489" s="9"/>
      <c r="D489" s="9"/>
      <c r="E489" s="9"/>
      <c r="F489" s="9"/>
      <c r="G489" s="9"/>
      <c r="H489" s="79"/>
      <c r="I489" s="21"/>
      <c r="J489" s="21"/>
      <c r="K489" s="21"/>
      <c r="L489" s="21"/>
      <c r="M489" s="21"/>
      <c r="N489" s="6"/>
    </row>
    <row r="490" spans="2:14" ht="15.75" customHeight="1" x14ac:dyDescent="0.25">
      <c r="B490" s="7" t="s">
        <v>7</v>
      </c>
      <c r="C490" s="1">
        <v>1</v>
      </c>
      <c r="D490" s="1">
        <v>2</v>
      </c>
      <c r="E490" s="1">
        <v>3</v>
      </c>
      <c r="F490" s="1">
        <v>4</v>
      </c>
      <c r="G490" s="1">
        <v>5</v>
      </c>
      <c r="H490" s="77">
        <v>6</v>
      </c>
      <c r="I490" s="160" t="s">
        <v>116</v>
      </c>
      <c r="J490" s="220"/>
      <c r="K490" s="220"/>
      <c r="L490" s="220"/>
      <c r="M490" s="220"/>
      <c r="N490" s="221"/>
    </row>
    <row r="491" spans="2:14" ht="15.75" x14ac:dyDescent="0.25">
      <c r="B491" s="87" t="s">
        <v>10</v>
      </c>
      <c r="C491" s="19">
        <v>27</v>
      </c>
      <c r="D491" s="19">
        <v>23</v>
      </c>
      <c r="E491" s="19">
        <v>21</v>
      </c>
      <c r="F491" s="19">
        <v>22</v>
      </c>
      <c r="G491" s="19">
        <v>21</v>
      </c>
      <c r="H491" s="95">
        <v>22</v>
      </c>
      <c r="I491" s="222"/>
      <c r="J491" s="223"/>
      <c r="K491" s="223"/>
      <c r="L491" s="223"/>
      <c r="M491" s="223"/>
      <c r="N491" s="224"/>
    </row>
    <row r="492" spans="2:14" ht="16.5" thickBot="1" x14ac:dyDescent="0.3">
      <c r="B492" s="94" t="s">
        <v>12</v>
      </c>
      <c r="C492" s="93">
        <v>55</v>
      </c>
      <c r="D492" s="93">
        <v>50</v>
      </c>
      <c r="E492" s="93">
        <v>53</v>
      </c>
      <c r="F492" s="93">
        <v>52</v>
      </c>
      <c r="G492" s="93">
        <v>50</v>
      </c>
      <c r="H492" s="97">
        <v>53</v>
      </c>
      <c r="I492" s="225"/>
      <c r="J492" s="226"/>
      <c r="K492" s="226"/>
      <c r="L492" s="226"/>
      <c r="M492" s="226"/>
      <c r="N492" s="227"/>
    </row>
    <row r="494" spans="2:14" ht="15.75" thickBot="1" x14ac:dyDescent="0.3"/>
    <row r="495" spans="2:14" ht="15.75" x14ac:dyDescent="0.25">
      <c r="B495" s="2" t="s">
        <v>0</v>
      </c>
      <c r="C495" s="175" t="s">
        <v>59</v>
      </c>
      <c r="D495" s="176"/>
      <c r="E495" s="177" t="s">
        <v>1</v>
      </c>
      <c r="F495" s="178"/>
      <c r="G495" s="11">
        <v>100</v>
      </c>
      <c r="H495" s="179" t="s">
        <v>2</v>
      </c>
      <c r="I495" s="180"/>
      <c r="J495" s="181"/>
      <c r="K495" s="13">
        <v>100</v>
      </c>
      <c r="L495" s="3"/>
      <c r="M495" s="80" t="s">
        <v>11</v>
      </c>
      <c r="N495" s="76">
        <v>44499</v>
      </c>
    </row>
    <row r="496" spans="2:14" ht="15.75" x14ac:dyDescent="0.25">
      <c r="B496" s="4" t="s">
        <v>3</v>
      </c>
      <c r="C496" s="10">
        <v>8376</v>
      </c>
      <c r="D496" s="169" t="s">
        <v>57</v>
      </c>
      <c r="E496" s="170"/>
      <c r="F496" s="171"/>
      <c r="G496" s="18">
        <v>9564</v>
      </c>
      <c r="H496" s="172" t="s">
        <v>4</v>
      </c>
      <c r="I496" s="173"/>
      <c r="J496" s="174"/>
      <c r="K496" s="10">
        <v>54</v>
      </c>
      <c r="L496" s="15"/>
      <c r="M496" s="15"/>
      <c r="N496" s="16"/>
    </row>
    <row r="497" spans="2:14" ht="15.75" x14ac:dyDescent="0.25">
      <c r="B497" s="4" t="s">
        <v>5</v>
      </c>
      <c r="C497" s="19">
        <v>60</v>
      </c>
      <c r="D497" s="169" t="s">
        <v>8</v>
      </c>
      <c r="E497" s="170"/>
      <c r="F497" s="171"/>
      <c r="G497" s="17">
        <v>0.36</v>
      </c>
      <c r="H497" s="172" t="s">
        <v>9</v>
      </c>
      <c r="I497" s="173"/>
      <c r="J497" s="174"/>
      <c r="K497" s="12">
        <v>0.9</v>
      </c>
      <c r="L497" s="172" t="s">
        <v>6</v>
      </c>
      <c r="M497" s="174"/>
      <c r="N497" s="20">
        <v>0.46</v>
      </c>
    </row>
    <row r="498" spans="2:14" ht="16.5" thickBot="1" x14ac:dyDescent="0.3">
      <c r="B498" s="5"/>
      <c r="C498" s="9"/>
      <c r="D498" s="9"/>
      <c r="E498" s="9"/>
      <c r="F498" s="9"/>
      <c r="G498" s="9"/>
      <c r="H498" s="79"/>
      <c r="I498" s="21"/>
      <c r="J498" s="21"/>
      <c r="K498" s="21"/>
      <c r="L498" s="21"/>
      <c r="M498" s="21"/>
      <c r="N498" s="6"/>
    </row>
    <row r="499" spans="2:14" ht="15.75" x14ac:dyDescent="0.25">
      <c r="B499" s="7" t="s">
        <v>7</v>
      </c>
      <c r="C499" s="1">
        <v>1</v>
      </c>
      <c r="D499" s="1">
        <v>2</v>
      </c>
      <c r="E499" s="1">
        <v>3</v>
      </c>
      <c r="F499" s="1">
        <v>4</v>
      </c>
      <c r="G499" s="1">
        <v>5</v>
      </c>
      <c r="H499" s="77">
        <v>6</v>
      </c>
      <c r="I499" s="160" t="s">
        <v>117</v>
      </c>
      <c r="J499" s="220"/>
      <c r="K499" s="220"/>
      <c r="L499" s="220"/>
      <c r="M499" s="220"/>
      <c r="N499" s="221"/>
    </row>
    <row r="500" spans="2:14" ht="15.75" x14ac:dyDescent="0.25">
      <c r="B500" s="87" t="s">
        <v>10</v>
      </c>
      <c r="C500" s="19">
        <v>26</v>
      </c>
      <c r="D500" s="19">
        <v>21</v>
      </c>
      <c r="E500" s="19">
        <v>20</v>
      </c>
      <c r="F500" s="19">
        <v>23</v>
      </c>
      <c r="G500" s="19">
        <v>24</v>
      </c>
      <c r="H500" s="95">
        <v>20</v>
      </c>
      <c r="I500" s="222"/>
      <c r="J500" s="223"/>
      <c r="K500" s="223"/>
      <c r="L500" s="223"/>
      <c r="M500" s="223"/>
      <c r="N500" s="224"/>
    </row>
    <row r="501" spans="2:14" ht="16.5" thickBot="1" x14ac:dyDescent="0.3">
      <c r="B501" s="94" t="s">
        <v>12</v>
      </c>
      <c r="C501" s="93">
        <v>58</v>
      </c>
      <c r="D501" s="93">
        <v>52</v>
      </c>
      <c r="E501" s="93">
        <v>50</v>
      </c>
      <c r="F501" s="93">
        <v>55</v>
      </c>
      <c r="G501" s="93">
        <v>51</v>
      </c>
      <c r="H501" s="97">
        <v>62</v>
      </c>
      <c r="I501" s="225"/>
      <c r="J501" s="226"/>
      <c r="K501" s="226"/>
      <c r="L501" s="226"/>
      <c r="M501" s="226"/>
      <c r="N501" s="227"/>
    </row>
    <row r="503" spans="2:14" ht="15.75" thickBot="1" x14ac:dyDescent="0.3"/>
    <row r="504" spans="2:14" ht="15.75" x14ac:dyDescent="0.25">
      <c r="B504" s="2" t="s">
        <v>0</v>
      </c>
      <c r="C504" s="175" t="s">
        <v>59</v>
      </c>
      <c r="D504" s="176"/>
      <c r="E504" s="177" t="s">
        <v>1</v>
      </c>
      <c r="F504" s="178"/>
      <c r="G504" s="11">
        <v>100</v>
      </c>
      <c r="H504" s="179" t="s">
        <v>2</v>
      </c>
      <c r="I504" s="180"/>
      <c r="J504" s="181"/>
      <c r="K504" s="13">
        <v>100</v>
      </c>
      <c r="L504" s="3"/>
      <c r="M504" s="80" t="s">
        <v>11</v>
      </c>
      <c r="N504" s="98">
        <v>44506</v>
      </c>
    </row>
    <row r="505" spans="2:14" ht="15.75" x14ac:dyDescent="0.25">
      <c r="B505" s="4" t="s">
        <v>3</v>
      </c>
      <c r="C505" s="10">
        <v>8376</v>
      </c>
      <c r="D505" s="169" t="s">
        <v>57</v>
      </c>
      <c r="E505" s="170"/>
      <c r="F505" s="171"/>
      <c r="G505" s="18"/>
      <c r="H505" s="172" t="s">
        <v>4</v>
      </c>
      <c r="I505" s="173"/>
      <c r="J505" s="174"/>
      <c r="K505" s="10"/>
      <c r="L505" s="15"/>
      <c r="M505" s="15"/>
      <c r="N505" s="16"/>
    </row>
    <row r="506" spans="2:14" ht="15.75" x14ac:dyDescent="0.25">
      <c r="B506" s="4" t="s">
        <v>5</v>
      </c>
      <c r="C506" s="19"/>
      <c r="D506" s="169" t="s">
        <v>8</v>
      </c>
      <c r="E506" s="170"/>
      <c r="F506" s="171"/>
      <c r="G506" s="17">
        <v>0.36</v>
      </c>
      <c r="H506" s="172" t="s">
        <v>9</v>
      </c>
      <c r="I506" s="173"/>
      <c r="J506" s="174"/>
      <c r="K506" s="12">
        <v>0.9</v>
      </c>
      <c r="L506" s="172" t="s">
        <v>6</v>
      </c>
      <c r="M506" s="174"/>
      <c r="N506" s="20">
        <v>0.46</v>
      </c>
    </row>
    <row r="507" spans="2:14" ht="16.5" thickBot="1" x14ac:dyDescent="0.3">
      <c r="B507" s="5"/>
      <c r="C507" s="9"/>
      <c r="D507" s="9"/>
      <c r="E507" s="9"/>
      <c r="F507" s="9"/>
      <c r="G507" s="9"/>
      <c r="H507" s="79"/>
      <c r="I507" s="21"/>
      <c r="J507" s="21"/>
      <c r="K507" s="21"/>
      <c r="L507" s="21"/>
      <c r="M507" s="21"/>
      <c r="N507" s="6"/>
    </row>
    <row r="508" spans="2:14" ht="15.75" customHeight="1" x14ac:dyDescent="0.25">
      <c r="B508" s="7" t="s">
        <v>7</v>
      </c>
      <c r="C508" s="1">
        <v>1</v>
      </c>
      <c r="D508" s="1">
        <v>2</v>
      </c>
      <c r="E508" s="1">
        <v>3</v>
      </c>
      <c r="F508" s="1">
        <v>4</v>
      </c>
      <c r="G508" s="1">
        <v>5</v>
      </c>
      <c r="H508" s="77">
        <v>6</v>
      </c>
      <c r="I508" s="160" t="s">
        <v>118</v>
      </c>
      <c r="J508" s="220"/>
      <c r="K508" s="220"/>
      <c r="L508" s="220"/>
      <c r="M508" s="220"/>
      <c r="N508" s="221"/>
    </row>
    <row r="509" spans="2:14" ht="15.75" x14ac:dyDescent="0.25">
      <c r="B509" s="87" t="s">
        <v>10</v>
      </c>
      <c r="C509" s="19"/>
      <c r="D509" s="19"/>
      <c r="E509" s="19"/>
      <c r="F509" s="19"/>
      <c r="G509" s="19"/>
      <c r="H509" s="95"/>
      <c r="I509" s="222"/>
      <c r="J509" s="223"/>
      <c r="K509" s="223"/>
      <c r="L509" s="223"/>
      <c r="M509" s="223"/>
      <c r="N509" s="224"/>
    </row>
    <row r="510" spans="2:14" ht="16.5" thickBot="1" x14ac:dyDescent="0.3">
      <c r="B510" s="94" t="s">
        <v>12</v>
      </c>
      <c r="C510" s="93"/>
      <c r="D510" s="93"/>
      <c r="E510" s="93"/>
      <c r="F510" s="93"/>
      <c r="G510" s="93"/>
      <c r="H510" s="97"/>
      <c r="I510" s="225"/>
      <c r="J510" s="226"/>
      <c r="K510" s="226"/>
      <c r="L510" s="226"/>
      <c r="M510" s="226"/>
      <c r="N510" s="227"/>
    </row>
    <row r="512" spans="2:14" ht="15.75" thickBot="1" x14ac:dyDescent="0.3"/>
    <row r="513" spans="2:14" ht="15.75" x14ac:dyDescent="0.25">
      <c r="B513" s="2" t="s">
        <v>0</v>
      </c>
      <c r="C513" s="175" t="s">
        <v>59</v>
      </c>
      <c r="D513" s="176"/>
      <c r="E513" s="177" t="s">
        <v>1</v>
      </c>
      <c r="F513" s="178"/>
      <c r="G513" s="11">
        <v>100</v>
      </c>
      <c r="H513" s="179" t="s">
        <v>2</v>
      </c>
      <c r="I513" s="180"/>
      <c r="J513" s="181"/>
      <c r="K513" s="13">
        <v>100</v>
      </c>
      <c r="L513" s="3"/>
      <c r="M513" s="80" t="s">
        <v>11</v>
      </c>
      <c r="N513" s="98">
        <v>44514</v>
      </c>
    </row>
    <row r="514" spans="2:14" ht="15.75" x14ac:dyDescent="0.25">
      <c r="B514" s="4" t="s">
        <v>3</v>
      </c>
      <c r="C514" s="10">
        <v>8630</v>
      </c>
      <c r="D514" s="169" t="s">
        <v>57</v>
      </c>
      <c r="E514" s="170"/>
      <c r="F514" s="171"/>
      <c r="G514" s="18"/>
      <c r="H514" s="172" t="s">
        <v>4</v>
      </c>
      <c r="I514" s="173"/>
      <c r="J514" s="174"/>
      <c r="K514" s="10"/>
      <c r="L514" s="15"/>
      <c r="M514" s="15"/>
      <c r="N514" s="16"/>
    </row>
    <row r="515" spans="2:14" ht="15.75" x14ac:dyDescent="0.25">
      <c r="B515" s="4" t="s">
        <v>5</v>
      </c>
      <c r="C515" s="19"/>
      <c r="D515" s="169" t="s">
        <v>8</v>
      </c>
      <c r="E515" s="170"/>
      <c r="F515" s="171"/>
      <c r="G515" s="17">
        <v>0.36</v>
      </c>
      <c r="H515" s="172" t="s">
        <v>9</v>
      </c>
      <c r="I515" s="173"/>
      <c r="J515" s="174"/>
      <c r="K515" s="12">
        <v>0.9</v>
      </c>
      <c r="L515" s="172" t="s">
        <v>6</v>
      </c>
      <c r="M515" s="174"/>
      <c r="N515" s="20">
        <v>0.46</v>
      </c>
    </row>
    <row r="516" spans="2:14" ht="16.5" thickBot="1" x14ac:dyDescent="0.3">
      <c r="B516" s="5"/>
      <c r="C516" s="9"/>
      <c r="D516" s="9"/>
      <c r="E516" s="9"/>
      <c r="F516" s="9"/>
      <c r="G516" s="9"/>
      <c r="H516" s="79"/>
      <c r="I516" s="21"/>
      <c r="J516" s="21"/>
      <c r="K516" s="21"/>
      <c r="L516" s="21"/>
      <c r="M516" s="21"/>
      <c r="N516" s="6"/>
    </row>
    <row r="517" spans="2:14" ht="15.75" x14ac:dyDescent="0.25">
      <c r="B517" s="7" t="s">
        <v>7</v>
      </c>
      <c r="C517" s="1">
        <v>1</v>
      </c>
      <c r="D517" s="1">
        <v>2</v>
      </c>
      <c r="E517" s="1">
        <v>3</v>
      </c>
      <c r="F517" s="1">
        <v>4</v>
      </c>
      <c r="G517" s="1">
        <v>5</v>
      </c>
      <c r="H517" s="77">
        <v>6</v>
      </c>
      <c r="I517" s="160" t="s">
        <v>119</v>
      </c>
      <c r="J517" s="220"/>
      <c r="K517" s="220"/>
      <c r="L517" s="220"/>
      <c r="M517" s="220"/>
      <c r="N517" s="221"/>
    </row>
    <row r="518" spans="2:14" ht="15.75" x14ac:dyDescent="0.25">
      <c r="B518" s="87" t="s">
        <v>10</v>
      </c>
      <c r="C518" s="19"/>
      <c r="D518" s="19"/>
      <c r="E518" s="19"/>
      <c r="F518" s="19"/>
      <c r="G518" s="19"/>
      <c r="H518" s="95"/>
      <c r="I518" s="222"/>
      <c r="J518" s="223"/>
      <c r="K518" s="223"/>
      <c r="L518" s="223"/>
      <c r="M518" s="223"/>
      <c r="N518" s="224"/>
    </row>
    <row r="519" spans="2:14" ht="16.5" thickBot="1" x14ac:dyDescent="0.3">
      <c r="B519" s="94" t="s">
        <v>12</v>
      </c>
      <c r="C519" s="93"/>
      <c r="D519" s="93"/>
      <c r="E519" s="93"/>
      <c r="F519" s="93"/>
      <c r="G519" s="93"/>
      <c r="H519" s="97"/>
      <c r="I519" s="225"/>
      <c r="J519" s="226"/>
      <c r="K519" s="226"/>
      <c r="L519" s="226"/>
      <c r="M519" s="226"/>
      <c r="N519" s="227"/>
    </row>
    <row r="521" spans="2:14" ht="15.75" thickBot="1" x14ac:dyDescent="0.3"/>
    <row r="522" spans="2:14" ht="15.75" x14ac:dyDescent="0.25">
      <c r="B522" s="2" t="s">
        <v>0</v>
      </c>
      <c r="C522" s="175" t="s">
        <v>59</v>
      </c>
      <c r="D522" s="176"/>
      <c r="E522" s="177" t="s">
        <v>1</v>
      </c>
      <c r="F522" s="178"/>
      <c r="G522" s="11">
        <v>100</v>
      </c>
      <c r="H522" s="179" t="s">
        <v>2</v>
      </c>
      <c r="I522" s="180"/>
      <c r="J522" s="181"/>
      <c r="K522" s="13">
        <v>100</v>
      </c>
      <c r="L522" s="3"/>
      <c r="M522" s="80" t="s">
        <v>11</v>
      </c>
      <c r="N522" s="98">
        <v>44520</v>
      </c>
    </row>
    <row r="523" spans="2:14" ht="15.75" x14ac:dyDescent="0.25">
      <c r="B523" s="4" t="s">
        <v>3</v>
      </c>
      <c r="C523" s="10">
        <v>8803</v>
      </c>
      <c r="D523" s="169" t="s">
        <v>57</v>
      </c>
      <c r="E523" s="170"/>
      <c r="F523" s="171"/>
      <c r="G523" s="18">
        <v>8283</v>
      </c>
      <c r="H523" s="172" t="s">
        <v>4</v>
      </c>
      <c r="I523" s="173"/>
      <c r="J523" s="174"/>
      <c r="K523" s="10">
        <v>60</v>
      </c>
      <c r="L523" s="15"/>
      <c r="M523" s="15"/>
      <c r="N523" s="16"/>
    </row>
    <row r="524" spans="2:14" ht="15.75" x14ac:dyDescent="0.25">
      <c r="B524" s="4" t="s">
        <v>5</v>
      </c>
      <c r="C524" s="19">
        <v>69</v>
      </c>
      <c r="D524" s="169" t="s">
        <v>8</v>
      </c>
      <c r="E524" s="170"/>
      <c r="F524" s="171"/>
      <c r="G524" s="17">
        <v>0.36</v>
      </c>
      <c r="H524" s="172" t="s">
        <v>9</v>
      </c>
      <c r="I524" s="173"/>
      <c r="J524" s="174"/>
      <c r="K524" s="12">
        <v>0.9</v>
      </c>
      <c r="L524" s="172" t="s">
        <v>6</v>
      </c>
      <c r="M524" s="174"/>
      <c r="N524" s="20">
        <v>0.46</v>
      </c>
    </row>
    <row r="525" spans="2:14" ht="16.5" thickBot="1" x14ac:dyDescent="0.3">
      <c r="B525" s="5"/>
      <c r="C525" s="9"/>
      <c r="D525" s="9"/>
      <c r="E525" s="9"/>
      <c r="F525" s="9"/>
      <c r="G525" s="9"/>
      <c r="H525" s="79"/>
      <c r="I525" s="21"/>
      <c r="J525" s="21"/>
      <c r="K525" s="21"/>
      <c r="L525" s="21"/>
      <c r="M525" s="21"/>
      <c r="N525" s="6"/>
    </row>
    <row r="526" spans="2:14" ht="15.75" x14ac:dyDescent="0.25">
      <c r="B526" s="7" t="s">
        <v>7</v>
      </c>
      <c r="C526" s="1">
        <v>1</v>
      </c>
      <c r="D526" s="1">
        <v>2</v>
      </c>
      <c r="E526" s="1">
        <v>3</v>
      </c>
      <c r="F526" s="1">
        <v>4</v>
      </c>
      <c r="G526" s="1">
        <v>5</v>
      </c>
      <c r="H526" s="77">
        <v>6</v>
      </c>
      <c r="I526" s="160" t="s">
        <v>120</v>
      </c>
      <c r="J526" s="220"/>
      <c r="K526" s="220"/>
      <c r="L526" s="220"/>
      <c r="M526" s="220"/>
      <c r="N526" s="221"/>
    </row>
    <row r="527" spans="2:14" ht="15.75" x14ac:dyDescent="0.25">
      <c r="B527" s="87" t="s">
        <v>10</v>
      </c>
      <c r="C527" s="19">
        <v>25</v>
      </c>
      <c r="D527" s="19">
        <v>22</v>
      </c>
      <c r="E527" s="19">
        <v>23</v>
      </c>
      <c r="F527" s="19">
        <v>24</v>
      </c>
      <c r="G527" s="19">
        <v>22</v>
      </c>
      <c r="H527" s="95">
        <v>21</v>
      </c>
      <c r="I527" s="222"/>
      <c r="J527" s="223"/>
      <c r="K527" s="223"/>
      <c r="L527" s="223"/>
      <c r="M527" s="223"/>
      <c r="N527" s="224"/>
    </row>
    <row r="528" spans="2:14" ht="16.5" thickBot="1" x14ac:dyDescent="0.3">
      <c r="B528" s="94" t="s">
        <v>12</v>
      </c>
      <c r="C528" s="93">
        <v>63</v>
      </c>
      <c r="D528" s="93">
        <v>55</v>
      </c>
      <c r="E528" s="93">
        <v>52</v>
      </c>
      <c r="F528" s="93">
        <v>58</v>
      </c>
      <c r="G528" s="93">
        <v>64</v>
      </c>
      <c r="H528" s="97">
        <v>57</v>
      </c>
      <c r="I528" s="225"/>
      <c r="J528" s="226"/>
      <c r="K528" s="226"/>
      <c r="L528" s="226"/>
      <c r="M528" s="226"/>
      <c r="N528" s="227"/>
    </row>
    <row r="530" spans="2:14" ht="15.75" thickBot="1" x14ac:dyDescent="0.3"/>
    <row r="531" spans="2:14" ht="15.75" x14ac:dyDescent="0.25">
      <c r="B531" s="2" t="s">
        <v>0</v>
      </c>
      <c r="C531" s="175" t="s">
        <v>59</v>
      </c>
      <c r="D531" s="176"/>
      <c r="E531" s="177" t="s">
        <v>1</v>
      </c>
      <c r="F531" s="178"/>
      <c r="G531" s="11">
        <v>100</v>
      </c>
      <c r="H531" s="179" t="s">
        <v>2</v>
      </c>
      <c r="I531" s="180"/>
      <c r="J531" s="181"/>
      <c r="K531" s="13">
        <v>100</v>
      </c>
      <c r="L531" s="3"/>
      <c r="M531" s="80" t="s">
        <v>11</v>
      </c>
      <c r="N531" s="98">
        <v>44527</v>
      </c>
    </row>
    <row r="532" spans="2:14" ht="15.75" x14ac:dyDescent="0.25">
      <c r="B532" s="4" t="s">
        <v>3</v>
      </c>
      <c r="C532" s="10">
        <v>8935</v>
      </c>
      <c r="D532" s="169" t="s">
        <v>57</v>
      </c>
      <c r="E532" s="170"/>
      <c r="F532" s="171"/>
      <c r="G532" s="18">
        <v>7419</v>
      </c>
      <c r="H532" s="172" t="s">
        <v>4</v>
      </c>
      <c r="I532" s="173"/>
      <c r="J532" s="174"/>
      <c r="K532" s="10">
        <v>57</v>
      </c>
      <c r="L532" s="15"/>
      <c r="M532" s="15"/>
      <c r="N532" s="16"/>
    </row>
    <row r="533" spans="2:14" ht="16.5" thickBot="1" x14ac:dyDescent="0.3">
      <c r="B533" s="100" t="s">
        <v>5</v>
      </c>
      <c r="C533" s="14">
        <v>71</v>
      </c>
      <c r="D533" s="233" t="s">
        <v>8</v>
      </c>
      <c r="E533" s="234"/>
      <c r="F533" s="235"/>
      <c r="G533" s="101">
        <v>0.36</v>
      </c>
      <c r="H533" s="236" t="s">
        <v>9</v>
      </c>
      <c r="I533" s="237"/>
      <c r="J533" s="238"/>
      <c r="K533" s="102">
        <v>1.23</v>
      </c>
      <c r="L533" s="236" t="s">
        <v>6</v>
      </c>
      <c r="M533" s="238"/>
      <c r="N533" s="103">
        <v>3.43</v>
      </c>
    </row>
    <row r="534" spans="2:14" ht="16.5" thickBot="1" x14ac:dyDescent="0.3">
      <c r="B534" s="5"/>
      <c r="C534" s="9"/>
      <c r="D534" s="9"/>
      <c r="E534" s="9"/>
      <c r="F534" s="9"/>
      <c r="G534" s="9"/>
      <c r="H534" s="79"/>
      <c r="I534" s="21"/>
      <c r="J534" s="21"/>
      <c r="K534" s="21"/>
      <c r="L534" s="21"/>
      <c r="M534" s="21"/>
      <c r="N534" s="6"/>
    </row>
    <row r="535" spans="2:14" ht="15.75" x14ac:dyDescent="0.25">
      <c r="B535" s="104" t="s">
        <v>7</v>
      </c>
      <c r="C535" s="105">
        <v>1</v>
      </c>
      <c r="D535" s="105">
        <v>2</v>
      </c>
      <c r="E535" s="105">
        <v>3</v>
      </c>
      <c r="F535" s="105">
        <v>4</v>
      </c>
      <c r="G535" s="105">
        <v>5</v>
      </c>
      <c r="H535" s="106">
        <v>6</v>
      </c>
      <c r="I535" s="161" t="s">
        <v>121</v>
      </c>
      <c r="J535" s="220"/>
      <c r="K535" s="220"/>
      <c r="L535" s="220"/>
      <c r="M535" s="220"/>
      <c r="N535" s="221"/>
    </row>
    <row r="536" spans="2:14" ht="15.75" x14ac:dyDescent="0.25">
      <c r="B536" s="7" t="s">
        <v>10</v>
      </c>
      <c r="C536" s="19">
        <v>27</v>
      </c>
      <c r="D536" s="19">
        <v>29</v>
      </c>
      <c r="E536" s="19">
        <v>27</v>
      </c>
      <c r="F536" s="19">
        <v>28</v>
      </c>
      <c r="G536" s="19">
        <v>29</v>
      </c>
      <c r="H536" s="107">
        <v>26</v>
      </c>
      <c r="I536" s="223"/>
      <c r="J536" s="223"/>
      <c r="K536" s="223"/>
      <c r="L536" s="223"/>
      <c r="M536" s="223"/>
      <c r="N536" s="224"/>
    </row>
    <row r="537" spans="2:14" ht="16.5" thickBot="1" x14ac:dyDescent="0.3">
      <c r="B537" s="94" t="s">
        <v>12</v>
      </c>
      <c r="C537" s="99">
        <v>74</v>
      </c>
      <c r="D537" s="99">
        <v>65</v>
      </c>
      <c r="E537" s="99">
        <v>68</v>
      </c>
      <c r="F537" s="99">
        <v>70</v>
      </c>
      <c r="G537" s="99">
        <v>73</v>
      </c>
      <c r="H537" s="108">
        <v>66</v>
      </c>
      <c r="I537" s="226"/>
      <c r="J537" s="226"/>
      <c r="K537" s="226"/>
      <c r="L537" s="226"/>
      <c r="M537" s="226"/>
      <c r="N537" s="227"/>
    </row>
    <row r="539" spans="2:14" ht="15.75" thickBot="1" x14ac:dyDescent="0.3"/>
    <row r="540" spans="2:14" ht="15.75" x14ac:dyDescent="0.25">
      <c r="B540" s="2" t="s">
        <v>0</v>
      </c>
      <c r="C540" s="175" t="s">
        <v>59</v>
      </c>
      <c r="D540" s="176"/>
      <c r="E540" s="177" t="s">
        <v>1</v>
      </c>
      <c r="F540" s="178"/>
      <c r="G540" s="11">
        <v>100</v>
      </c>
      <c r="H540" s="179" t="s">
        <v>2</v>
      </c>
      <c r="I540" s="180"/>
      <c r="J540" s="181"/>
      <c r="K540" s="13">
        <v>100</v>
      </c>
      <c r="L540" s="3"/>
      <c r="M540" s="80" t="s">
        <v>11</v>
      </c>
      <c r="N540" s="98">
        <v>44534</v>
      </c>
    </row>
    <row r="541" spans="2:14" ht="15.75" x14ac:dyDescent="0.25">
      <c r="B541" s="4" t="s">
        <v>3</v>
      </c>
      <c r="C541" s="10"/>
      <c r="D541" s="169" t="s">
        <v>57</v>
      </c>
      <c r="E541" s="170"/>
      <c r="F541" s="171"/>
      <c r="G541" s="18"/>
      <c r="H541" s="172" t="s">
        <v>4</v>
      </c>
      <c r="I541" s="173"/>
      <c r="J541" s="174"/>
      <c r="K541" s="10"/>
      <c r="L541" s="15"/>
      <c r="M541" s="15"/>
      <c r="N541" s="16"/>
    </row>
    <row r="542" spans="2:14" ht="15.75" x14ac:dyDescent="0.25">
      <c r="B542" s="4" t="s">
        <v>5</v>
      </c>
      <c r="C542" s="19"/>
      <c r="D542" s="169" t="s">
        <v>8</v>
      </c>
      <c r="E542" s="170"/>
      <c r="F542" s="171"/>
      <c r="G542" s="17">
        <v>0.36</v>
      </c>
      <c r="H542" s="172" t="s">
        <v>9</v>
      </c>
      <c r="I542" s="173"/>
      <c r="J542" s="174"/>
      <c r="K542" s="12"/>
      <c r="L542" s="172" t="s">
        <v>6</v>
      </c>
      <c r="M542" s="174"/>
      <c r="N542" s="20">
        <v>3.43</v>
      </c>
    </row>
    <row r="543" spans="2:14" ht="16.5" thickBot="1" x14ac:dyDescent="0.3">
      <c r="B543" s="5"/>
      <c r="C543" s="9"/>
      <c r="D543" s="9"/>
      <c r="E543" s="9"/>
      <c r="F543" s="9"/>
      <c r="G543" s="9"/>
      <c r="H543" s="79"/>
      <c r="I543" s="21"/>
      <c r="J543" s="21"/>
      <c r="K543" s="21"/>
      <c r="L543" s="21"/>
      <c r="M543" s="21"/>
      <c r="N543" s="6"/>
    </row>
    <row r="544" spans="2:14" ht="15.75" x14ac:dyDescent="0.25">
      <c r="B544" s="7" t="s">
        <v>7</v>
      </c>
      <c r="C544" s="1">
        <v>1</v>
      </c>
      <c r="D544" s="1">
        <v>2</v>
      </c>
      <c r="E544" s="1">
        <v>3</v>
      </c>
      <c r="F544" s="1">
        <v>4</v>
      </c>
      <c r="G544" s="1">
        <v>5</v>
      </c>
      <c r="H544" s="77">
        <v>6</v>
      </c>
      <c r="I544" s="160" t="s">
        <v>123</v>
      </c>
      <c r="J544" s="220"/>
      <c r="K544" s="220"/>
      <c r="L544" s="220"/>
      <c r="M544" s="220"/>
      <c r="N544" s="221"/>
    </row>
    <row r="545" spans="2:14" ht="15.75" x14ac:dyDescent="0.25">
      <c r="B545" s="87" t="s">
        <v>10</v>
      </c>
      <c r="C545" s="19"/>
      <c r="D545" s="19"/>
      <c r="E545" s="19"/>
      <c r="F545" s="19"/>
      <c r="G545" s="19"/>
      <c r="H545" s="95"/>
      <c r="I545" s="222"/>
      <c r="J545" s="223"/>
      <c r="K545" s="223"/>
      <c r="L545" s="223"/>
      <c r="M545" s="223"/>
      <c r="N545" s="224"/>
    </row>
    <row r="546" spans="2:14" ht="16.5" thickBot="1" x14ac:dyDescent="0.3">
      <c r="B546" s="94" t="s">
        <v>12</v>
      </c>
      <c r="C546" s="93"/>
      <c r="D546" s="93"/>
      <c r="E546" s="93"/>
      <c r="F546" s="93"/>
      <c r="G546" s="93"/>
      <c r="H546" s="97"/>
      <c r="I546" s="225"/>
      <c r="J546" s="226"/>
      <c r="K546" s="226"/>
      <c r="L546" s="226"/>
      <c r="M546" s="226"/>
      <c r="N546" s="227"/>
    </row>
    <row r="548" spans="2:14" ht="15.75" thickBot="1" x14ac:dyDescent="0.3"/>
    <row r="549" spans="2:14" ht="15.75" x14ac:dyDescent="0.25">
      <c r="B549" s="2" t="s">
        <v>0</v>
      </c>
      <c r="C549" s="175" t="s">
        <v>59</v>
      </c>
      <c r="D549" s="176"/>
      <c r="E549" s="177" t="s">
        <v>1</v>
      </c>
      <c r="F549" s="178"/>
      <c r="G549" s="11">
        <v>100</v>
      </c>
      <c r="H549" s="179" t="s">
        <v>2</v>
      </c>
      <c r="I549" s="180"/>
      <c r="J549" s="181"/>
      <c r="K549" s="13">
        <v>100</v>
      </c>
      <c r="L549" s="3"/>
      <c r="M549" s="80" t="s">
        <v>11</v>
      </c>
      <c r="N549" s="98">
        <v>44541</v>
      </c>
    </row>
    <row r="550" spans="2:14" ht="15.75" x14ac:dyDescent="0.25">
      <c r="B550" s="4" t="s">
        <v>3</v>
      </c>
      <c r="C550" s="10"/>
      <c r="D550" s="169" t="s">
        <v>57</v>
      </c>
      <c r="E550" s="170"/>
      <c r="F550" s="171"/>
      <c r="G550" s="18"/>
      <c r="H550" s="172" t="s">
        <v>4</v>
      </c>
      <c r="I550" s="173"/>
      <c r="J550" s="174"/>
      <c r="K550" s="10"/>
      <c r="L550" s="15"/>
      <c r="M550" s="15"/>
      <c r="N550" s="16"/>
    </row>
    <row r="551" spans="2:14" ht="15.75" x14ac:dyDescent="0.25">
      <c r="B551" s="4" t="s">
        <v>5</v>
      </c>
      <c r="C551" s="19"/>
      <c r="D551" s="169" t="s">
        <v>8</v>
      </c>
      <c r="E551" s="170"/>
      <c r="F551" s="171"/>
      <c r="G551" s="17">
        <v>0.36</v>
      </c>
      <c r="H551" s="172" t="s">
        <v>9</v>
      </c>
      <c r="I551" s="173"/>
      <c r="J551" s="174"/>
      <c r="K551" s="12"/>
      <c r="L551" s="172" t="s">
        <v>6</v>
      </c>
      <c r="M551" s="174"/>
      <c r="N551" s="20">
        <v>3.43</v>
      </c>
    </row>
    <row r="552" spans="2:14" ht="16.5" thickBot="1" x14ac:dyDescent="0.3">
      <c r="B552" s="5"/>
      <c r="C552" s="9"/>
      <c r="D552" s="9"/>
      <c r="E552" s="9"/>
      <c r="F552" s="9"/>
      <c r="G552" s="9"/>
      <c r="H552" s="79"/>
      <c r="I552" s="21"/>
      <c r="J552" s="21"/>
      <c r="K552" s="21"/>
      <c r="L552" s="21"/>
      <c r="M552" s="21"/>
      <c r="N552" s="6"/>
    </row>
    <row r="553" spans="2:14" ht="15.75" x14ac:dyDescent="0.25">
      <c r="B553" s="7" t="s">
        <v>7</v>
      </c>
      <c r="C553" s="1">
        <v>1</v>
      </c>
      <c r="D553" s="1">
        <v>2</v>
      </c>
      <c r="E553" s="1">
        <v>3</v>
      </c>
      <c r="F553" s="1">
        <v>4</v>
      </c>
      <c r="G553" s="1">
        <v>5</v>
      </c>
      <c r="H553" s="77">
        <v>6</v>
      </c>
      <c r="I553" s="160" t="s">
        <v>122</v>
      </c>
      <c r="J553" s="220"/>
      <c r="K553" s="220"/>
      <c r="L553" s="220"/>
      <c r="M553" s="220"/>
      <c r="N553" s="221"/>
    </row>
    <row r="554" spans="2:14" ht="15.75" x14ac:dyDescent="0.25">
      <c r="B554" s="87" t="s">
        <v>10</v>
      </c>
      <c r="C554" s="19"/>
      <c r="D554" s="19"/>
      <c r="E554" s="19"/>
      <c r="F554" s="19"/>
      <c r="G554" s="19"/>
      <c r="H554" s="95"/>
      <c r="I554" s="222"/>
      <c r="J554" s="223"/>
      <c r="K554" s="223"/>
      <c r="L554" s="223"/>
      <c r="M554" s="223"/>
      <c r="N554" s="224"/>
    </row>
    <row r="555" spans="2:14" ht="29.25" customHeight="1" thickBot="1" x14ac:dyDescent="0.3">
      <c r="B555" s="94" t="s">
        <v>12</v>
      </c>
      <c r="C555" s="93"/>
      <c r="D555" s="93"/>
      <c r="E555" s="93"/>
      <c r="F555" s="93"/>
      <c r="G555" s="93"/>
      <c r="H555" s="97"/>
      <c r="I555" s="225"/>
      <c r="J555" s="226"/>
      <c r="K555" s="226"/>
      <c r="L555" s="226"/>
      <c r="M555" s="226"/>
      <c r="N555" s="227"/>
    </row>
    <row r="557" spans="2:14" ht="15.75" thickBot="1" x14ac:dyDescent="0.3"/>
    <row r="558" spans="2:14" ht="15.75" x14ac:dyDescent="0.25">
      <c r="B558" s="2" t="s">
        <v>0</v>
      </c>
      <c r="C558" s="175" t="s">
        <v>59</v>
      </c>
      <c r="D558" s="176"/>
      <c r="E558" s="177" t="s">
        <v>1</v>
      </c>
      <c r="F558" s="178"/>
      <c r="G558" s="11">
        <v>100</v>
      </c>
      <c r="H558" s="179" t="s">
        <v>2</v>
      </c>
      <c r="I558" s="180"/>
      <c r="J558" s="181"/>
      <c r="K558" s="13">
        <v>100</v>
      </c>
      <c r="L558" s="3"/>
      <c r="M558" s="80" t="s">
        <v>11</v>
      </c>
      <c r="N558" s="98">
        <v>44548</v>
      </c>
    </row>
    <row r="559" spans="2:14" ht="15.75" x14ac:dyDescent="0.25">
      <c r="B559" s="4" t="s">
        <v>3</v>
      </c>
      <c r="C559" s="10"/>
      <c r="D559" s="169" t="s">
        <v>57</v>
      </c>
      <c r="E559" s="170"/>
      <c r="F559" s="171"/>
      <c r="G559" s="18"/>
      <c r="H559" s="172" t="s">
        <v>4</v>
      </c>
      <c r="I559" s="173"/>
      <c r="J559" s="174"/>
      <c r="K559" s="10"/>
      <c r="L559" s="15"/>
      <c r="M559" s="15"/>
      <c r="N559" s="16"/>
    </row>
    <row r="560" spans="2:14" ht="15.75" x14ac:dyDescent="0.25">
      <c r="B560" s="4" t="s">
        <v>5</v>
      </c>
      <c r="C560" s="19"/>
      <c r="D560" s="169" t="s">
        <v>8</v>
      </c>
      <c r="E560" s="170"/>
      <c r="F560" s="171"/>
      <c r="G560" s="17">
        <v>0.36</v>
      </c>
      <c r="H560" s="172" t="s">
        <v>9</v>
      </c>
      <c r="I560" s="173"/>
      <c r="J560" s="174"/>
      <c r="K560" s="12"/>
      <c r="L560" s="172" t="s">
        <v>6</v>
      </c>
      <c r="M560" s="174"/>
      <c r="N560" s="20">
        <v>2.68</v>
      </c>
    </row>
    <row r="561" spans="2:14" ht="16.5" thickBot="1" x14ac:dyDescent="0.3">
      <c r="B561" s="5"/>
      <c r="C561" s="9"/>
      <c r="D561" s="9"/>
      <c r="E561" s="9"/>
      <c r="F561" s="9"/>
      <c r="G561" s="9"/>
      <c r="H561" s="79"/>
      <c r="I561" s="21"/>
      <c r="J561" s="21"/>
      <c r="K561" s="21"/>
      <c r="L561" s="21"/>
      <c r="M561" s="21"/>
      <c r="N561" s="6"/>
    </row>
    <row r="562" spans="2:14" ht="15.75" x14ac:dyDescent="0.25">
      <c r="B562" s="7" t="s">
        <v>7</v>
      </c>
      <c r="C562" s="1">
        <v>1</v>
      </c>
      <c r="D562" s="1">
        <v>2</v>
      </c>
      <c r="E562" s="1">
        <v>3</v>
      </c>
      <c r="F562" s="1">
        <v>4</v>
      </c>
      <c r="G562" s="1">
        <v>5</v>
      </c>
      <c r="H562" s="77">
        <v>6</v>
      </c>
      <c r="I562" s="160" t="s">
        <v>124</v>
      </c>
      <c r="J562" s="220"/>
      <c r="K562" s="220"/>
      <c r="L562" s="220"/>
      <c r="M562" s="220"/>
      <c r="N562" s="221"/>
    </row>
    <row r="563" spans="2:14" ht="15.75" x14ac:dyDescent="0.25">
      <c r="B563" s="87" t="s">
        <v>10</v>
      </c>
      <c r="C563" s="19"/>
      <c r="D563" s="19"/>
      <c r="E563" s="19"/>
      <c r="F563" s="19"/>
      <c r="G563" s="19"/>
      <c r="H563" s="95"/>
      <c r="I563" s="222"/>
      <c r="J563" s="223"/>
      <c r="K563" s="223"/>
      <c r="L563" s="223"/>
      <c r="M563" s="223"/>
      <c r="N563" s="224"/>
    </row>
    <row r="564" spans="2:14" ht="36" customHeight="1" thickBot="1" x14ac:dyDescent="0.3">
      <c r="B564" s="94" t="s">
        <v>12</v>
      </c>
      <c r="C564" s="93"/>
      <c r="D564" s="93"/>
      <c r="E564" s="93"/>
      <c r="F564" s="93"/>
      <c r="G564" s="93"/>
      <c r="H564" s="97"/>
      <c r="I564" s="225"/>
      <c r="J564" s="226"/>
      <c r="K564" s="226"/>
      <c r="L564" s="226"/>
      <c r="M564" s="226"/>
      <c r="N564" s="227"/>
    </row>
    <row r="566" spans="2:14" ht="15.75" thickBot="1" x14ac:dyDescent="0.3"/>
    <row r="567" spans="2:14" ht="15.75" x14ac:dyDescent="0.25">
      <c r="B567" s="2" t="s">
        <v>0</v>
      </c>
      <c r="C567" s="175" t="s">
        <v>59</v>
      </c>
      <c r="D567" s="176"/>
      <c r="E567" s="177" t="s">
        <v>1</v>
      </c>
      <c r="F567" s="178"/>
      <c r="G567" s="11">
        <v>100</v>
      </c>
      <c r="H567" s="179" t="s">
        <v>2</v>
      </c>
      <c r="I567" s="180"/>
      <c r="J567" s="181"/>
      <c r="K567" s="13">
        <v>100</v>
      </c>
      <c r="L567" s="3"/>
      <c r="M567" s="80" t="s">
        <v>11</v>
      </c>
      <c r="N567" s="98">
        <v>44555</v>
      </c>
    </row>
    <row r="568" spans="2:14" ht="15.75" x14ac:dyDescent="0.25">
      <c r="B568" s="4" t="s">
        <v>3</v>
      </c>
      <c r="C568" s="10">
        <v>9269</v>
      </c>
      <c r="D568" s="169" t="s">
        <v>57</v>
      </c>
      <c r="E568" s="170"/>
      <c r="F568" s="171"/>
      <c r="G568" s="18">
        <v>6114</v>
      </c>
      <c r="H568" s="172" t="s">
        <v>4</v>
      </c>
      <c r="I568" s="173"/>
      <c r="J568" s="174"/>
      <c r="K568" s="10">
        <v>58</v>
      </c>
      <c r="L568" s="15"/>
      <c r="M568" s="15"/>
      <c r="N568" s="16"/>
    </row>
    <row r="569" spans="2:14" ht="15.75" x14ac:dyDescent="0.25">
      <c r="B569" s="4" t="s">
        <v>5</v>
      </c>
      <c r="C569" s="19">
        <v>61</v>
      </c>
      <c r="D569" s="169" t="s">
        <v>8</v>
      </c>
      <c r="E569" s="170"/>
      <c r="F569" s="171"/>
      <c r="G569" s="17">
        <v>0.36</v>
      </c>
      <c r="H569" s="172" t="s">
        <v>9</v>
      </c>
      <c r="I569" s="173"/>
      <c r="J569" s="174"/>
      <c r="K569" s="12">
        <v>0.96</v>
      </c>
      <c r="L569" s="172" t="s">
        <v>6</v>
      </c>
      <c r="M569" s="174"/>
      <c r="N569" s="20">
        <v>2.68</v>
      </c>
    </row>
    <row r="570" spans="2:14" ht="16.5" thickBot="1" x14ac:dyDescent="0.3">
      <c r="B570" s="5"/>
      <c r="C570" s="9"/>
      <c r="D570" s="9"/>
      <c r="E570" s="9"/>
      <c r="F570" s="9"/>
      <c r="G570" s="9"/>
      <c r="H570" s="79"/>
      <c r="I570" s="21"/>
      <c r="J570" s="21"/>
      <c r="K570" s="21"/>
      <c r="L570" s="21"/>
      <c r="M570" s="21"/>
      <c r="N570" s="6"/>
    </row>
    <row r="571" spans="2:14" ht="15.75" customHeight="1" x14ac:dyDescent="0.25">
      <c r="B571" s="7" t="s">
        <v>7</v>
      </c>
      <c r="C571" s="1">
        <v>1</v>
      </c>
      <c r="D571" s="1">
        <v>2</v>
      </c>
      <c r="E571" s="1">
        <v>3</v>
      </c>
      <c r="F571" s="1">
        <v>4</v>
      </c>
      <c r="G571" s="1">
        <v>5</v>
      </c>
      <c r="H571" s="77">
        <v>6</v>
      </c>
      <c r="I571" s="160" t="s">
        <v>126</v>
      </c>
      <c r="J571" s="220"/>
      <c r="K571" s="220"/>
      <c r="L571" s="220"/>
      <c r="M571" s="220"/>
      <c r="N571" s="221"/>
    </row>
    <row r="572" spans="2:14" ht="15.75" x14ac:dyDescent="0.25">
      <c r="B572" s="87" t="s">
        <v>10</v>
      </c>
      <c r="C572" s="19">
        <v>64</v>
      </c>
      <c r="D572" s="19">
        <v>62</v>
      </c>
      <c r="E572" s="19">
        <v>64</v>
      </c>
      <c r="F572" s="19">
        <v>68</v>
      </c>
      <c r="G572" s="19">
        <v>68</v>
      </c>
      <c r="H572" s="95">
        <v>68</v>
      </c>
      <c r="I572" s="222"/>
      <c r="J572" s="223"/>
      <c r="K572" s="223"/>
      <c r="L572" s="223"/>
      <c r="M572" s="223"/>
      <c r="N572" s="224"/>
    </row>
    <row r="573" spans="2:14" ht="16.5" thickBot="1" x14ac:dyDescent="0.3">
      <c r="B573" s="94" t="s">
        <v>12</v>
      </c>
      <c r="C573" s="93">
        <v>75</v>
      </c>
      <c r="D573" s="93">
        <v>72</v>
      </c>
      <c r="E573" s="93">
        <v>76</v>
      </c>
      <c r="F573" s="93">
        <v>75</v>
      </c>
      <c r="G573" s="93">
        <v>74</v>
      </c>
      <c r="H573" s="97">
        <v>74</v>
      </c>
      <c r="I573" s="225"/>
      <c r="J573" s="226"/>
      <c r="K573" s="226"/>
      <c r="L573" s="226"/>
      <c r="M573" s="226"/>
      <c r="N573" s="227"/>
    </row>
    <row r="575" spans="2:14" ht="15.75" thickBot="1" x14ac:dyDescent="0.3"/>
    <row r="576" spans="2:14" ht="15.75" x14ac:dyDescent="0.25">
      <c r="B576" s="2" t="s">
        <v>0</v>
      </c>
      <c r="C576" s="175" t="s">
        <v>59</v>
      </c>
      <c r="D576" s="176"/>
      <c r="E576" s="177" t="s">
        <v>1</v>
      </c>
      <c r="F576" s="178"/>
      <c r="G576" s="11">
        <v>100</v>
      </c>
      <c r="H576" s="179" t="s">
        <v>2</v>
      </c>
      <c r="I576" s="180"/>
      <c r="J576" s="181"/>
      <c r="K576" s="13">
        <v>100</v>
      </c>
      <c r="L576" s="3"/>
      <c r="M576" s="80" t="s">
        <v>11</v>
      </c>
      <c r="N576" s="98">
        <v>44562</v>
      </c>
    </row>
    <row r="577" spans="2:14" ht="15.75" x14ac:dyDescent="0.25">
      <c r="B577" s="4" t="s">
        <v>3</v>
      </c>
      <c r="C577" s="10">
        <v>9341</v>
      </c>
      <c r="D577" s="169" t="s">
        <v>57</v>
      </c>
      <c r="E577" s="170"/>
      <c r="F577" s="171"/>
      <c r="G577" s="18">
        <v>6085</v>
      </c>
      <c r="H577" s="172" t="s">
        <v>4</v>
      </c>
      <c r="I577" s="173"/>
      <c r="J577" s="174"/>
      <c r="K577" s="10">
        <v>56</v>
      </c>
      <c r="L577" s="15"/>
      <c r="M577" s="15"/>
      <c r="N577" s="16"/>
    </row>
    <row r="578" spans="2:14" ht="15.75" x14ac:dyDescent="0.25">
      <c r="B578" s="4" t="s">
        <v>5</v>
      </c>
      <c r="C578" s="19">
        <v>59</v>
      </c>
      <c r="D578" s="169" t="s">
        <v>8</v>
      </c>
      <c r="E578" s="170"/>
      <c r="F578" s="171"/>
      <c r="G578" s="17">
        <v>0.34</v>
      </c>
      <c r="H578" s="172" t="s">
        <v>9</v>
      </c>
      <c r="I578" s="173"/>
      <c r="J578" s="174"/>
      <c r="K578" s="12">
        <v>0.91</v>
      </c>
      <c r="L578" s="172" t="s">
        <v>6</v>
      </c>
      <c r="M578" s="174"/>
      <c r="N578" s="20">
        <v>2.68</v>
      </c>
    </row>
    <row r="579" spans="2:14" ht="16.5" thickBot="1" x14ac:dyDescent="0.3">
      <c r="B579" s="5"/>
      <c r="C579" s="9"/>
      <c r="D579" s="9"/>
      <c r="E579" s="9"/>
      <c r="F579" s="9"/>
      <c r="G579" s="9"/>
      <c r="H579" s="79"/>
      <c r="I579" s="21"/>
      <c r="J579" s="21"/>
      <c r="K579" s="21"/>
      <c r="L579" s="21"/>
      <c r="M579" s="21"/>
      <c r="N579" s="6"/>
    </row>
    <row r="580" spans="2:14" ht="15.75" x14ac:dyDescent="0.25">
      <c r="B580" s="7" t="s">
        <v>7</v>
      </c>
      <c r="C580" s="1">
        <v>1</v>
      </c>
      <c r="D580" s="1">
        <v>2</v>
      </c>
      <c r="E580" s="1">
        <v>3</v>
      </c>
      <c r="F580" s="1">
        <v>4</v>
      </c>
      <c r="G580" s="1">
        <v>5</v>
      </c>
      <c r="H580" s="77">
        <v>6</v>
      </c>
      <c r="I580" s="160" t="s">
        <v>125</v>
      </c>
      <c r="J580" s="220"/>
      <c r="K580" s="220"/>
      <c r="L580" s="220"/>
      <c r="M580" s="220"/>
      <c r="N580" s="221"/>
    </row>
    <row r="581" spans="2:14" ht="15.75" x14ac:dyDescent="0.25">
      <c r="B581" s="87" t="s">
        <v>10</v>
      </c>
      <c r="C581" s="19">
        <v>45</v>
      </c>
      <c r="D581" s="19">
        <v>45</v>
      </c>
      <c r="E581" s="19">
        <v>45</v>
      </c>
      <c r="F581" s="19">
        <v>49</v>
      </c>
      <c r="G581" s="19">
        <v>48</v>
      </c>
      <c r="H581" s="95">
        <v>52</v>
      </c>
      <c r="I581" s="222"/>
      <c r="J581" s="223"/>
      <c r="K581" s="223"/>
      <c r="L581" s="223"/>
      <c r="M581" s="223"/>
      <c r="N581" s="224"/>
    </row>
    <row r="582" spans="2:14" ht="16.5" thickBot="1" x14ac:dyDescent="0.3">
      <c r="B582" s="94" t="s">
        <v>12</v>
      </c>
      <c r="C582" s="93">
        <v>75</v>
      </c>
      <c r="D582" s="93">
        <v>72</v>
      </c>
      <c r="E582" s="93">
        <v>73</v>
      </c>
      <c r="F582" s="93">
        <v>72</v>
      </c>
      <c r="G582" s="93">
        <v>72</v>
      </c>
      <c r="H582" s="97">
        <v>75</v>
      </c>
      <c r="I582" s="225"/>
      <c r="J582" s="226"/>
      <c r="K582" s="226"/>
      <c r="L582" s="226"/>
      <c r="M582" s="226"/>
      <c r="N582" s="227"/>
    </row>
    <row r="584" spans="2:14" ht="15.75" thickBot="1" x14ac:dyDescent="0.3"/>
    <row r="585" spans="2:14" ht="15.75" x14ac:dyDescent="0.25">
      <c r="B585" s="2" t="s">
        <v>0</v>
      </c>
      <c r="C585" s="175" t="s">
        <v>59</v>
      </c>
      <c r="D585" s="176"/>
      <c r="E585" s="177" t="s">
        <v>1</v>
      </c>
      <c r="F585" s="178"/>
      <c r="G585" s="11">
        <v>100</v>
      </c>
      <c r="H585" s="179" t="s">
        <v>2</v>
      </c>
      <c r="I585" s="180"/>
      <c r="J585" s="181"/>
      <c r="K585" s="13">
        <v>100</v>
      </c>
      <c r="L585" s="3"/>
      <c r="M585" s="80" t="s">
        <v>11</v>
      </c>
      <c r="N585" s="98">
        <v>44568</v>
      </c>
    </row>
    <row r="586" spans="2:14" ht="15.75" x14ac:dyDescent="0.25">
      <c r="B586" s="4" t="s">
        <v>3</v>
      </c>
      <c r="C586" s="10">
        <v>9480</v>
      </c>
      <c r="D586" s="169" t="s">
        <v>57</v>
      </c>
      <c r="E586" s="170"/>
      <c r="F586" s="171"/>
      <c r="G586" s="18">
        <v>6054</v>
      </c>
      <c r="H586" s="172" t="s">
        <v>4</v>
      </c>
      <c r="I586" s="173"/>
      <c r="J586" s="174"/>
      <c r="K586" s="10">
        <v>58</v>
      </c>
      <c r="L586" s="15"/>
      <c r="M586" s="15"/>
      <c r="N586" s="16"/>
    </row>
    <row r="587" spans="2:14" ht="15.75" x14ac:dyDescent="0.25">
      <c r="B587" s="4" t="s">
        <v>5</v>
      </c>
      <c r="C587" s="19">
        <v>60</v>
      </c>
      <c r="D587" s="169" t="s">
        <v>8</v>
      </c>
      <c r="E587" s="170"/>
      <c r="F587" s="171"/>
      <c r="G587" s="17">
        <v>0.34</v>
      </c>
      <c r="H587" s="172" t="s">
        <v>9</v>
      </c>
      <c r="I587" s="173"/>
      <c r="J587" s="174"/>
      <c r="K587" s="12">
        <v>0.91</v>
      </c>
      <c r="L587" s="172" t="s">
        <v>6</v>
      </c>
      <c r="M587" s="174"/>
      <c r="N587" s="20">
        <v>2.68</v>
      </c>
    </row>
    <row r="588" spans="2:14" ht="16.5" thickBot="1" x14ac:dyDescent="0.3">
      <c r="B588" s="5"/>
      <c r="C588" s="9"/>
      <c r="D588" s="9"/>
      <c r="E588" s="9"/>
      <c r="F588" s="9"/>
      <c r="G588" s="9"/>
      <c r="H588" s="79"/>
      <c r="I588" s="21"/>
      <c r="J588" s="21"/>
      <c r="K588" s="21"/>
      <c r="L588" s="21"/>
      <c r="M588" s="21"/>
      <c r="N588" s="6"/>
    </row>
    <row r="589" spans="2:14" ht="15.75" x14ac:dyDescent="0.25">
      <c r="B589" s="7" t="s">
        <v>7</v>
      </c>
      <c r="C589" s="1">
        <v>1</v>
      </c>
      <c r="D589" s="1">
        <v>2</v>
      </c>
      <c r="E589" s="1">
        <v>3</v>
      </c>
      <c r="F589" s="1">
        <v>4</v>
      </c>
      <c r="G589" s="1">
        <v>5</v>
      </c>
      <c r="H589" s="77">
        <v>6</v>
      </c>
      <c r="I589" s="160" t="s">
        <v>127</v>
      </c>
      <c r="J589" s="220"/>
      <c r="K589" s="220"/>
      <c r="L589" s="220"/>
      <c r="M589" s="220"/>
      <c r="N589" s="221"/>
    </row>
    <row r="590" spans="2:14" ht="15.75" x14ac:dyDescent="0.25">
      <c r="B590" s="87" t="s">
        <v>10</v>
      </c>
      <c r="C590" s="19">
        <v>48</v>
      </c>
      <c r="D590" s="19">
        <v>45</v>
      </c>
      <c r="E590" s="19">
        <v>48</v>
      </c>
      <c r="F590" s="19">
        <v>50</v>
      </c>
      <c r="G590" s="19">
        <v>49</v>
      </c>
      <c r="H590" s="95">
        <v>50</v>
      </c>
      <c r="I590" s="222"/>
      <c r="J590" s="223"/>
      <c r="K590" s="223"/>
      <c r="L590" s="223"/>
      <c r="M590" s="223"/>
      <c r="N590" s="224"/>
    </row>
    <row r="591" spans="2:14" ht="16.5" thickBot="1" x14ac:dyDescent="0.3">
      <c r="B591" s="94" t="s">
        <v>12</v>
      </c>
      <c r="C591" s="93">
        <v>99</v>
      </c>
      <c r="D591" s="93">
        <v>87</v>
      </c>
      <c r="E591" s="93">
        <v>94</v>
      </c>
      <c r="F591" s="93">
        <v>98</v>
      </c>
      <c r="G591" s="93">
        <v>99</v>
      </c>
      <c r="H591" s="97">
        <v>98</v>
      </c>
      <c r="I591" s="225"/>
      <c r="J591" s="226"/>
      <c r="K591" s="226"/>
      <c r="L591" s="226"/>
      <c r="M591" s="226"/>
      <c r="N591" s="227"/>
    </row>
  </sheetData>
  <mergeCells count="606">
    <mergeCell ref="C585:D585"/>
    <mergeCell ref="E585:F585"/>
    <mergeCell ref="H585:J585"/>
    <mergeCell ref="D586:F586"/>
    <mergeCell ref="H586:J586"/>
    <mergeCell ref="D587:F587"/>
    <mergeCell ref="H587:J587"/>
    <mergeCell ref="L587:M587"/>
    <mergeCell ref="I589:N591"/>
    <mergeCell ref="C567:D567"/>
    <mergeCell ref="E567:F567"/>
    <mergeCell ref="H567:J567"/>
    <mergeCell ref="D568:F568"/>
    <mergeCell ref="H568:J568"/>
    <mergeCell ref="D569:F569"/>
    <mergeCell ref="H569:J569"/>
    <mergeCell ref="L569:M569"/>
    <mergeCell ref="I571:N573"/>
    <mergeCell ref="C540:D540"/>
    <mergeCell ref="E540:F540"/>
    <mergeCell ref="H540:J540"/>
    <mergeCell ref="D541:F541"/>
    <mergeCell ref="H541:J541"/>
    <mergeCell ref="D542:F542"/>
    <mergeCell ref="H542:J542"/>
    <mergeCell ref="L542:M542"/>
    <mergeCell ref="I544:N546"/>
    <mergeCell ref="C531:D531"/>
    <mergeCell ref="E531:F531"/>
    <mergeCell ref="H531:J531"/>
    <mergeCell ref="D532:F532"/>
    <mergeCell ref="H532:J532"/>
    <mergeCell ref="D533:F533"/>
    <mergeCell ref="H533:J533"/>
    <mergeCell ref="L533:M533"/>
    <mergeCell ref="I535:N537"/>
    <mergeCell ref="C486:D486"/>
    <mergeCell ref="E486:F486"/>
    <mergeCell ref="H486:J486"/>
    <mergeCell ref="D487:F487"/>
    <mergeCell ref="H487:J487"/>
    <mergeCell ref="D488:F488"/>
    <mergeCell ref="H488:J488"/>
    <mergeCell ref="L488:M488"/>
    <mergeCell ref="I490:N492"/>
    <mergeCell ref="C468:D468"/>
    <mergeCell ref="E468:F468"/>
    <mergeCell ref="H468:J468"/>
    <mergeCell ref="D469:F469"/>
    <mergeCell ref="H469:J469"/>
    <mergeCell ref="D470:F470"/>
    <mergeCell ref="H470:J470"/>
    <mergeCell ref="L470:M470"/>
    <mergeCell ref="I472:N474"/>
    <mergeCell ref="C450:D450"/>
    <mergeCell ref="E450:F450"/>
    <mergeCell ref="H450:J450"/>
    <mergeCell ref="D451:F451"/>
    <mergeCell ref="H451:J451"/>
    <mergeCell ref="D452:F452"/>
    <mergeCell ref="H452:J452"/>
    <mergeCell ref="L452:M452"/>
    <mergeCell ref="I454:N456"/>
    <mergeCell ref="C440:D440"/>
    <mergeCell ref="E440:F440"/>
    <mergeCell ref="H440:J440"/>
    <mergeCell ref="D441:F441"/>
    <mergeCell ref="H441:J441"/>
    <mergeCell ref="D442:F442"/>
    <mergeCell ref="H442:J442"/>
    <mergeCell ref="L442:M442"/>
    <mergeCell ref="I444:N446"/>
    <mergeCell ref="C412:D412"/>
    <mergeCell ref="E412:F412"/>
    <mergeCell ref="H412:J412"/>
    <mergeCell ref="D413:F413"/>
    <mergeCell ref="H413:J413"/>
    <mergeCell ref="D414:F414"/>
    <mergeCell ref="H414:J414"/>
    <mergeCell ref="L414:M414"/>
    <mergeCell ref="I416:N418"/>
    <mergeCell ref="C367:D367"/>
    <mergeCell ref="E367:F367"/>
    <mergeCell ref="H367:J367"/>
    <mergeCell ref="D368:F368"/>
    <mergeCell ref="H368:J368"/>
    <mergeCell ref="D369:F369"/>
    <mergeCell ref="H369:J369"/>
    <mergeCell ref="L369:M369"/>
    <mergeCell ref="I371:N373"/>
    <mergeCell ref="C358:D358"/>
    <mergeCell ref="E358:F358"/>
    <mergeCell ref="H358:J358"/>
    <mergeCell ref="D359:F359"/>
    <mergeCell ref="H359:J359"/>
    <mergeCell ref="D360:F360"/>
    <mergeCell ref="H360:J360"/>
    <mergeCell ref="L360:M360"/>
    <mergeCell ref="I362:N364"/>
    <mergeCell ref="C340:D340"/>
    <mergeCell ref="E340:F340"/>
    <mergeCell ref="H340:J340"/>
    <mergeCell ref="D341:F341"/>
    <mergeCell ref="H341:J341"/>
    <mergeCell ref="D342:F342"/>
    <mergeCell ref="H342:J342"/>
    <mergeCell ref="L342:M342"/>
    <mergeCell ref="I344:N346"/>
    <mergeCell ref="C323:D323"/>
    <mergeCell ref="E323:F323"/>
    <mergeCell ref="H323:J323"/>
    <mergeCell ref="D324:F324"/>
    <mergeCell ref="H324:J324"/>
    <mergeCell ref="D325:F325"/>
    <mergeCell ref="H325:J325"/>
    <mergeCell ref="L325:M325"/>
    <mergeCell ref="I327:N329"/>
    <mergeCell ref="C314:D314"/>
    <mergeCell ref="E314:F314"/>
    <mergeCell ref="H314:J314"/>
    <mergeCell ref="D315:F315"/>
    <mergeCell ref="H315:J315"/>
    <mergeCell ref="D316:F316"/>
    <mergeCell ref="H316:J316"/>
    <mergeCell ref="L316:M316"/>
    <mergeCell ref="I318:N320"/>
    <mergeCell ref="C297:D297"/>
    <mergeCell ref="E297:F297"/>
    <mergeCell ref="H297:J297"/>
    <mergeCell ref="D298:F298"/>
    <mergeCell ref="H298:J298"/>
    <mergeCell ref="D299:F299"/>
    <mergeCell ref="H299:J299"/>
    <mergeCell ref="L299:M299"/>
    <mergeCell ref="I301:N303"/>
    <mergeCell ref="C288:D288"/>
    <mergeCell ref="E288:F288"/>
    <mergeCell ref="H288:J288"/>
    <mergeCell ref="D289:F289"/>
    <mergeCell ref="H289:J289"/>
    <mergeCell ref="D290:F290"/>
    <mergeCell ref="H290:J290"/>
    <mergeCell ref="L290:M290"/>
    <mergeCell ref="I292:N294"/>
    <mergeCell ref="C252:D252"/>
    <mergeCell ref="E252:F252"/>
    <mergeCell ref="H252:J252"/>
    <mergeCell ref="D253:F253"/>
    <mergeCell ref="H253:J253"/>
    <mergeCell ref="D254:F254"/>
    <mergeCell ref="H254:J254"/>
    <mergeCell ref="L254:M254"/>
    <mergeCell ref="I256:N258"/>
    <mergeCell ref="C242:D242"/>
    <mergeCell ref="E242:F242"/>
    <mergeCell ref="H242:J242"/>
    <mergeCell ref="D243:F243"/>
    <mergeCell ref="H243:J243"/>
    <mergeCell ref="D244:F244"/>
    <mergeCell ref="H244:J244"/>
    <mergeCell ref="L244:M244"/>
    <mergeCell ref="I246:N248"/>
    <mergeCell ref="C232:D232"/>
    <mergeCell ref="E232:F232"/>
    <mergeCell ref="H232:J232"/>
    <mergeCell ref="D233:F233"/>
    <mergeCell ref="H233:J233"/>
    <mergeCell ref="D234:F234"/>
    <mergeCell ref="H234:J234"/>
    <mergeCell ref="L234:M234"/>
    <mergeCell ref="I236:N238"/>
    <mergeCell ref="C187:D187"/>
    <mergeCell ref="E187:F187"/>
    <mergeCell ref="H187:J187"/>
    <mergeCell ref="D188:F188"/>
    <mergeCell ref="H188:J188"/>
    <mergeCell ref="D189:F189"/>
    <mergeCell ref="H189:J189"/>
    <mergeCell ref="L189:M189"/>
    <mergeCell ref="I191:N193"/>
    <mergeCell ref="C169:D169"/>
    <mergeCell ref="E169:F169"/>
    <mergeCell ref="H169:J169"/>
    <mergeCell ref="D170:F170"/>
    <mergeCell ref="H170:J170"/>
    <mergeCell ref="D171:F171"/>
    <mergeCell ref="H171:J171"/>
    <mergeCell ref="L171:M171"/>
    <mergeCell ref="I173:N175"/>
    <mergeCell ref="C116:D116"/>
    <mergeCell ref="E116:F116"/>
    <mergeCell ref="H116:J116"/>
    <mergeCell ref="D117:F117"/>
    <mergeCell ref="H117:J117"/>
    <mergeCell ref="D118:F118"/>
    <mergeCell ref="H118:J118"/>
    <mergeCell ref="L118:M118"/>
    <mergeCell ref="I120:N122"/>
    <mergeCell ref="C100:D100"/>
    <mergeCell ref="E100:F100"/>
    <mergeCell ref="H100:J100"/>
    <mergeCell ref="D101:F101"/>
    <mergeCell ref="H101:J101"/>
    <mergeCell ref="D102:F102"/>
    <mergeCell ref="H102:J102"/>
    <mergeCell ref="L102:M102"/>
    <mergeCell ref="I104:N106"/>
    <mergeCell ref="C4:D4"/>
    <mergeCell ref="E4:F4"/>
    <mergeCell ref="H4:J4"/>
    <mergeCell ref="D5:F5"/>
    <mergeCell ref="H5:J5"/>
    <mergeCell ref="D6:F6"/>
    <mergeCell ref="H6:J6"/>
    <mergeCell ref="C20:D20"/>
    <mergeCell ref="E20:F20"/>
    <mergeCell ref="H20:J20"/>
    <mergeCell ref="C12:D12"/>
    <mergeCell ref="E12:F12"/>
    <mergeCell ref="H12:J12"/>
    <mergeCell ref="D13:F13"/>
    <mergeCell ref="H13:J13"/>
    <mergeCell ref="D14:F14"/>
    <mergeCell ref="H14:J14"/>
    <mergeCell ref="I16:N18"/>
    <mergeCell ref="L6:M6"/>
    <mergeCell ref="L14:M14"/>
    <mergeCell ref="D29:F29"/>
    <mergeCell ref="H29:J29"/>
    <mergeCell ref="D30:F30"/>
    <mergeCell ref="H30:J30"/>
    <mergeCell ref="L30:M30"/>
    <mergeCell ref="C36:D36"/>
    <mergeCell ref="E36:F36"/>
    <mergeCell ref="H36:J36"/>
    <mergeCell ref="D21:F21"/>
    <mergeCell ref="H21:J21"/>
    <mergeCell ref="D22:F22"/>
    <mergeCell ref="H22:J22"/>
    <mergeCell ref="L22:M22"/>
    <mergeCell ref="C28:D28"/>
    <mergeCell ref="E28:F28"/>
    <mergeCell ref="H28:J28"/>
    <mergeCell ref="D37:F37"/>
    <mergeCell ref="H37:J37"/>
    <mergeCell ref="D38:F38"/>
    <mergeCell ref="H38:J38"/>
    <mergeCell ref="L38:M38"/>
    <mergeCell ref="C44:D44"/>
    <mergeCell ref="E44:F44"/>
    <mergeCell ref="H44:J44"/>
    <mergeCell ref="I40:N42"/>
    <mergeCell ref="D45:F45"/>
    <mergeCell ref="H45:J45"/>
    <mergeCell ref="D46:F46"/>
    <mergeCell ref="H46:J46"/>
    <mergeCell ref="L46:M46"/>
    <mergeCell ref="C52:D52"/>
    <mergeCell ref="E52:F52"/>
    <mergeCell ref="H52:J52"/>
    <mergeCell ref="I48:N50"/>
    <mergeCell ref="D53:F53"/>
    <mergeCell ref="H53:J53"/>
    <mergeCell ref="D54:F54"/>
    <mergeCell ref="H54:J54"/>
    <mergeCell ref="L54:M54"/>
    <mergeCell ref="C60:D60"/>
    <mergeCell ref="E60:F60"/>
    <mergeCell ref="H60:J60"/>
    <mergeCell ref="I56:N58"/>
    <mergeCell ref="D61:F61"/>
    <mergeCell ref="H61:J61"/>
    <mergeCell ref="D62:F62"/>
    <mergeCell ref="H62:J62"/>
    <mergeCell ref="L62:M62"/>
    <mergeCell ref="C68:D68"/>
    <mergeCell ref="E68:F68"/>
    <mergeCell ref="H68:J68"/>
    <mergeCell ref="I64:N66"/>
    <mergeCell ref="L78:M78"/>
    <mergeCell ref="C84:D84"/>
    <mergeCell ref="E84:F84"/>
    <mergeCell ref="H84:J84"/>
    <mergeCell ref="I80:N82"/>
    <mergeCell ref="D69:F69"/>
    <mergeCell ref="H69:J69"/>
    <mergeCell ref="D70:F70"/>
    <mergeCell ref="H70:J70"/>
    <mergeCell ref="L70:M70"/>
    <mergeCell ref="C76:D76"/>
    <mergeCell ref="E76:F76"/>
    <mergeCell ref="H76:J76"/>
    <mergeCell ref="I72:N74"/>
    <mergeCell ref="G2:N2"/>
    <mergeCell ref="I96:N98"/>
    <mergeCell ref="D93:F93"/>
    <mergeCell ref="H93:J93"/>
    <mergeCell ref="D94:F94"/>
    <mergeCell ref="H94:J94"/>
    <mergeCell ref="L94:M94"/>
    <mergeCell ref="C2:E2"/>
    <mergeCell ref="I8:N10"/>
    <mergeCell ref="I24:N26"/>
    <mergeCell ref="I32:N34"/>
    <mergeCell ref="D85:F85"/>
    <mergeCell ref="H85:J85"/>
    <mergeCell ref="D86:F86"/>
    <mergeCell ref="H86:J86"/>
    <mergeCell ref="L86:M86"/>
    <mergeCell ref="C92:D92"/>
    <mergeCell ref="E92:F92"/>
    <mergeCell ref="H92:J92"/>
    <mergeCell ref="I88:N90"/>
    <mergeCell ref="D77:F77"/>
    <mergeCell ref="H77:J77"/>
    <mergeCell ref="D78:F78"/>
    <mergeCell ref="H78:J78"/>
    <mergeCell ref="C108:D108"/>
    <mergeCell ref="E108:F108"/>
    <mergeCell ref="H108:J108"/>
    <mergeCell ref="D109:F109"/>
    <mergeCell ref="H109:J109"/>
    <mergeCell ref="D110:F110"/>
    <mergeCell ref="H110:J110"/>
    <mergeCell ref="L110:M110"/>
    <mergeCell ref="I112:N114"/>
    <mergeCell ref="C124:D124"/>
    <mergeCell ref="E124:F124"/>
    <mergeCell ref="H124:J124"/>
    <mergeCell ref="D125:F125"/>
    <mergeCell ref="H125:J125"/>
    <mergeCell ref="D126:F126"/>
    <mergeCell ref="H126:J126"/>
    <mergeCell ref="L126:M126"/>
    <mergeCell ref="I128:N130"/>
    <mergeCell ref="C132:D132"/>
    <mergeCell ref="E132:F132"/>
    <mergeCell ref="H132:J132"/>
    <mergeCell ref="D133:F133"/>
    <mergeCell ref="H133:J133"/>
    <mergeCell ref="D134:F134"/>
    <mergeCell ref="H134:J134"/>
    <mergeCell ref="L134:M134"/>
    <mergeCell ref="I136:N138"/>
    <mergeCell ref="C140:D140"/>
    <mergeCell ref="E140:F140"/>
    <mergeCell ref="H140:J140"/>
    <mergeCell ref="D141:F141"/>
    <mergeCell ref="H141:J141"/>
    <mergeCell ref="D142:F142"/>
    <mergeCell ref="H142:J142"/>
    <mergeCell ref="L142:M142"/>
    <mergeCell ref="I144:N146"/>
    <mergeCell ref="C148:D148"/>
    <mergeCell ref="E148:F148"/>
    <mergeCell ref="H148:J148"/>
    <mergeCell ref="D149:F149"/>
    <mergeCell ref="H149:J149"/>
    <mergeCell ref="D150:F150"/>
    <mergeCell ref="H150:J150"/>
    <mergeCell ref="L150:M150"/>
    <mergeCell ref="I152:N154"/>
    <mergeCell ref="I164:N166"/>
    <mergeCell ref="E157:H157"/>
    <mergeCell ref="C160:D160"/>
    <mergeCell ref="E160:F160"/>
    <mergeCell ref="H160:J160"/>
    <mergeCell ref="D161:F161"/>
    <mergeCell ref="H161:J161"/>
    <mergeCell ref="D162:F162"/>
    <mergeCell ref="H162:J162"/>
    <mergeCell ref="L162:M162"/>
    <mergeCell ref="C178:D178"/>
    <mergeCell ref="E178:F178"/>
    <mergeCell ref="H178:J178"/>
    <mergeCell ref="D179:F179"/>
    <mergeCell ref="H179:J179"/>
    <mergeCell ref="D180:F180"/>
    <mergeCell ref="H180:J180"/>
    <mergeCell ref="L180:M180"/>
    <mergeCell ref="I182:N184"/>
    <mergeCell ref="C196:D196"/>
    <mergeCell ref="E196:F196"/>
    <mergeCell ref="H196:J196"/>
    <mergeCell ref="D197:F197"/>
    <mergeCell ref="H197:J197"/>
    <mergeCell ref="D198:F198"/>
    <mergeCell ref="H198:J198"/>
    <mergeCell ref="L198:M198"/>
    <mergeCell ref="I200:N202"/>
    <mergeCell ref="C205:D205"/>
    <mergeCell ref="E205:F205"/>
    <mergeCell ref="H205:J205"/>
    <mergeCell ref="D206:F206"/>
    <mergeCell ref="H206:J206"/>
    <mergeCell ref="D207:F207"/>
    <mergeCell ref="H207:J207"/>
    <mergeCell ref="L207:M207"/>
    <mergeCell ref="I209:N211"/>
    <mergeCell ref="C214:D214"/>
    <mergeCell ref="E214:F214"/>
    <mergeCell ref="H214:J214"/>
    <mergeCell ref="D215:F215"/>
    <mergeCell ref="H215:J215"/>
    <mergeCell ref="D216:F216"/>
    <mergeCell ref="H216:J216"/>
    <mergeCell ref="L216:M216"/>
    <mergeCell ref="I218:N220"/>
    <mergeCell ref="C223:D223"/>
    <mergeCell ref="E223:F223"/>
    <mergeCell ref="H223:J223"/>
    <mergeCell ref="D224:F224"/>
    <mergeCell ref="H224:J224"/>
    <mergeCell ref="D225:F225"/>
    <mergeCell ref="H225:J225"/>
    <mergeCell ref="L225:M225"/>
    <mergeCell ref="I227:N229"/>
    <mergeCell ref="C261:D261"/>
    <mergeCell ref="E261:F261"/>
    <mergeCell ref="H261:J261"/>
    <mergeCell ref="D262:F262"/>
    <mergeCell ref="H262:J262"/>
    <mergeCell ref="D263:F263"/>
    <mergeCell ref="H263:J263"/>
    <mergeCell ref="L263:M263"/>
    <mergeCell ref="I265:N267"/>
    <mergeCell ref="C271:D271"/>
    <mergeCell ref="E271:F271"/>
    <mergeCell ref="H271:J271"/>
    <mergeCell ref="D272:F272"/>
    <mergeCell ref="H272:J272"/>
    <mergeCell ref="D273:F273"/>
    <mergeCell ref="H273:J273"/>
    <mergeCell ref="L273:M273"/>
    <mergeCell ref="I275:N277"/>
    <mergeCell ref="C279:D279"/>
    <mergeCell ref="E279:F279"/>
    <mergeCell ref="H279:J279"/>
    <mergeCell ref="D280:F280"/>
    <mergeCell ref="H280:J280"/>
    <mergeCell ref="D281:F281"/>
    <mergeCell ref="H281:J281"/>
    <mergeCell ref="L281:M281"/>
    <mergeCell ref="I283:N285"/>
    <mergeCell ref="C305:D305"/>
    <mergeCell ref="E305:F305"/>
    <mergeCell ref="H305:J305"/>
    <mergeCell ref="D306:F306"/>
    <mergeCell ref="H306:J306"/>
    <mergeCell ref="D307:F307"/>
    <mergeCell ref="H307:J307"/>
    <mergeCell ref="L307:M307"/>
    <mergeCell ref="I309:N311"/>
    <mergeCell ref="C332:D332"/>
    <mergeCell ref="E332:F332"/>
    <mergeCell ref="H332:J332"/>
    <mergeCell ref="D333:F333"/>
    <mergeCell ref="H333:J333"/>
    <mergeCell ref="D334:F334"/>
    <mergeCell ref="H334:J334"/>
    <mergeCell ref="L334:M334"/>
    <mergeCell ref="I336:N338"/>
    <mergeCell ref="C349:D349"/>
    <mergeCell ref="E349:F349"/>
    <mergeCell ref="H349:J349"/>
    <mergeCell ref="D350:F350"/>
    <mergeCell ref="H350:J350"/>
    <mergeCell ref="D351:F351"/>
    <mergeCell ref="H351:J351"/>
    <mergeCell ref="L351:M351"/>
    <mergeCell ref="I353:N355"/>
    <mergeCell ref="C376:D376"/>
    <mergeCell ref="E376:F376"/>
    <mergeCell ref="H376:J376"/>
    <mergeCell ref="D377:F377"/>
    <mergeCell ref="H377:J377"/>
    <mergeCell ref="D378:F378"/>
    <mergeCell ref="H378:J378"/>
    <mergeCell ref="L378:M378"/>
    <mergeCell ref="I380:N382"/>
    <mergeCell ref="C385:D385"/>
    <mergeCell ref="E385:F385"/>
    <mergeCell ref="H385:J385"/>
    <mergeCell ref="D386:F386"/>
    <mergeCell ref="H386:J386"/>
    <mergeCell ref="D387:F387"/>
    <mergeCell ref="H387:J387"/>
    <mergeCell ref="L387:M387"/>
    <mergeCell ref="I389:N391"/>
    <mergeCell ref="C394:D394"/>
    <mergeCell ref="E394:F394"/>
    <mergeCell ref="H394:J394"/>
    <mergeCell ref="D395:F395"/>
    <mergeCell ref="H395:J395"/>
    <mergeCell ref="D396:F396"/>
    <mergeCell ref="H396:J396"/>
    <mergeCell ref="L396:M396"/>
    <mergeCell ref="I398:N400"/>
    <mergeCell ref="C403:D403"/>
    <mergeCell ref="E403:F403"/>
    <mergeCell ref="H403:J403"/>
    <mergeCell ref="D404:F404"/>
    <mergeCell ref="H404:J404"/>
    <mergeCell ref="D405:F405"/>
    <mergeCell ref="H405:J405"/>
    <mergeCell ref="L405:M405"/>
    <mergeCell ref="I407:N409"/>
    <mergeCell ref="H421:J421"/>
    <mergeCell ref="D422:F422"/>
    <mergeCell ref="H422:J422"/>
    <mergeCell ref="C421:D421"/>
    <mergeCell ref="E421:F421"/>
    <mergeCell ref="D423:F423"/>
    <mergeCell ref="H423:J423"/>
    <mergeCell ref="L423:M423"/>
    <mergeCell ref="I425:N427"/>
    <mergeCell ref="C430:D430"/>
    <mergeCell ref="E430:F430"/>
    <mergeCell ref="H430:J430"/>
    <mergeCell ref="D431:F431"/>
    <mergeCell ref="H431:J431"/>
    <mergeCell ref="D432:F432"/>
    <mergeCell ref="H432:J432"/>
    <mergeCell ref="L432:M432"/>
    <mergeCell ref="I434:N436"/>
    <mergeCell ref="C459:D459"/>
    <mergeCell ref="E459:F459"/>
    <mergeCell ref="H459:J459"/>
    <mergeCell ref="D460:F460"/>
    <mergeCell ref="H460:J460"/>
    <mergeCell ref="D461:F461"/>
    <mergeCell ref="H461:J461"/>
    <mergeCell ref="L461:M461"/>
    <mergeCell ref="I463:N465"/>
    <mergeCell ref="C477:D477"/>
    <mergeCell ref="E477:F477"/>
    <mergeCell ref="H477:J477"/>
    <mergeCell ref="D478:F478"/>
    <mergeCell ref="H478:J478"/>
    <mergeCell ref="D479:F479"/>
    <mergeCell ref="H479:J479"/>
    <mergeCell ref="L479:M479"/>
    <mergeCell ref="I481:N483"/>
    <mergeCell ref="C495:D495"/>
    <mergeCell ref="E495:F495"/>
    <mergeCell ref="H495:J495"/>
    <mergeCell ref="D496:F496"/>
    <mergeCell ref="H496:J496"/>
    <mergeCell ref="D497:F497"/>
    <mergeCell ref="H497:J497"/>
    <mergeCell ref="L497:M497"/>
    <mergeCell ref="I499:N501"/>
    <mergeCell ref="C504:D504"/>
    <mergeCell ref="E504:F504"/>
    <mergeCell ref="H504:J504"/>
    <mergeCell ref="D505:F505"/>
    <mergeCell ref="H505:J505"/>
    <mergeCell ref="D506:F506"/>
    <mergeCell ref="H506:J506"/>
    <mergeCell ref="L506:M506"/>
    <mergeCell ref="I508:N510"/>
    <mergeCell ref="C513:D513"/>
    <mergeCell ref="E513:F513"/>
    <mergeCell ref="H513:J513"/>
    <mergeCell ref="D514:F514"/>
    <mergeCell ref="H514:J514"/>
    <mergeCell ref="D515:F515"/>
    <mergeCell ref="H515:J515"/>
    <mergeCell ref="L515:M515"/>
    <mergeCell ref="I517:N519"/>
    <mergeCell ref="C522:D522"/>
    <mergeCell ref="E522:F522"/>
    <mergeCell ref="H522:J522"/>
    <mergeCell ref="D523:F523"/>
    <mergeCell ref="H523:J523"/>
    <mergeCell ref="D524:F524"/>
    <mergeCell ref="H524:J524"/>
    <mergeCell ref="L524:M524"/>
    <mergeCell ref="I526:N528"/>
    <mergeCell ref="C549:D549"/>
    <mergeCell ref="E549:F549"/>
    <mergeCell ref="H549:J549"/>
    <mergeCell ref="D550:F550"/>
    <mergeCell ref="H550:J550"/>
    <mergeCell ref="D551:F551"/>
    <mergeCell ref="H551:J551"/>
    <mergeCell ref="L551:M551"/>
    <mergeCell ref="I553:N555"/>
    <mergeCell ref="C558:D558"/>
    <mergeCell ref="E558:F558"/>
    <mergeCell ref="H558:J558"/>
    <mergeCell ref="D559:F559"/>
    <mergeCell ref="H559:J559"/>
    <mergeCell ref="D560:F560"/>
    <mergeCell ref="H560:J560"/>
    <mergeCell ref="L560:M560"/>
    <mergeCell ref="I562:N564"/>
    <mergeCell ref="C576:D576"/>
    <mergeCell ref="E576:F576"/>
    <mergeCell ref="H576:J576"/>
    <mergeCell ref="D577:F577"/>
    <mergeCell ref="H577:J577"/>
    <mergeCell ref="D578:F578"/>
    <mergeCell ref="H578:J578"/>
    <mergeCell ref="L578:M578"/>
    <mergeCell ref="I580:N58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459"/>
  <sheetViews>
    <sheetView topLeftCell="A438" zoomScale="98" zoomScaleNormal="98" workbookViewId="0">
      <selection activeCell="N427" sqref="N427"/>
    </sheetView>
  </sheetViews>
  <sheetFormatPr defaultRowHeight="15" x14ac:dyDescent="0.25"/>
  <cols>
    <col min="2" max="2" width="21.7109375" customWidth="1"/>
    <col min="14" max="14" width="16.28515625" customWidth="1"/>
  </cols>
  <sheetData>
    <row r="1" spans="2:14" ht="15.75" thickBot="1" x14ac:dyDescent="0.3"/>
    <row r="2" spans="2:14" ht="16.5" thickTop="1" thickBot="1" x14ac:dyDescent="0.3">
      <c r="B2" s="23" t="s">
        <v>13</v>
      </c>
      <c r="C2" s="230" t="s">
        <v>58</v>
      </c>
      <c r="D2" s="230"/>
      <c r="E2" s="231"/>
      <c r="G2" s="229" t="s">
        <v>56</v>
      </c>
      <c r="H2" s="229"/>
      <c r="I2" s="229"/>
      <c r="J2" s="229"/>
      <c r="K2" s="229"/>
      <c r="L2" s="229"/>
      <c r="M2" s="229"/>
      <c r="N2" s="229"/>
    </row>
    <row r="3" spans="2:14" ht="16.5" thickTop="1" thickBot="1" x14ac:dyDescent="0.3"/>
    <row r="4" spans="2:14" ht="15.75" x14ac:dyDescent="0.25">
      <c r="B4" s="2" t="s">
        <v>0</v>
      </c>
      <c r="C4" s="175" t="s">
        <v>59</v>
      </c>
      <c r="D4" s="176"/>
      <c r="E4" s="177" t="s">
        <v>1</v>
      </c>
      <c r="F4" s="178"/>
      <c r="G4" s="11">
        <v>120</v>
      </c>
      <c r="H4" s="179" t="s">
        <v>2</v>
      </c>
      <c r="I4" s="180"/>
      <c r="J4" s="181"/>
      <c r="K4" s="13">
        <v>120</v>
      </c>
      <c r="L4" s="3"/>
      <c r="M4" s="80" t="s">
        <v>11</v>
      </c>
      <c r="N4" s="98">
        <v>44562</v>
      </c>
    </row>
    <row r="5" spans="2:14" ht="15.75" x14ac:dyDescent="0.25">
      <c r="B5" s="4" t="s">
        <v>3</v>
      </c>
      <c r="C5" s="10">
        <v>9341</v>
      </c>
      <c r="D5" s="169" t="s">
        <v>57</v>
      </c>
      <c r="E5" s="170"/>
      <c r="F5" s="171"/>
      <c r="G5" s="18">
        <v>6085</v>
      </c>
      <c r="H5" s="172" t="s">
        <v>4</v>
      </c>
      <c r="I5" s="173"/>
      <c r="J5" s="174"/>
      <c r="K5" s="10">
        <v>56</v>
      </c>
      <c r="L5" s="15"/>
      <c r="M5" s="15"/>
      <c r="N5" s="16"/>
    </row>
    <row r="6" spans="2:14" ht="15.75" x14ac:dyDescent="0.25">
      <c r="B6" s="4" t="s">
        <v>5</v>
      </c>
      <c r="C6" s="19">
        <v>59</v>
      </c>
      <c r="D6" s="169" t="s">
        <v>8</v>
      </c>
      <c r="E6" s="170"/>
      <c r="F6" s="171"/>
      <c r="G6" s="17">
        <v>0.34</v>
      </c>
      <c r="H6" s="172" t="s">
        <v>9</v>
      </c>
      <c r="I6" s="173"/>
      <c r="J6" s="174"/>
      <c r="K6" s="12">
        <v>0.91</v>
      </c>
      <c r="L6" s="172" t="s">
        <v>6</v>
      </c>
      <c r="M6" s="174"/>
      <c r="N6" s="20">
        <v>2.68</v>
      </c>
    </row>
    <row r="7" spans="2:14" ht="16.5" thickBot="1" x14ac:dyDescent="0.3">
      <c r="B7" s="5"/>
      <c r="C7" s="9"/>
      <c r="D7" s="9"/>
      <c r="E7" s="9"/>
      <c r="F7" s="9"/>
      <c r="G7" s="9"/>
      <c r="H7" s="79"/>
      <c r="I7" s="21"/>
      <c r="J7" s="21"/>
      <c r="K7" s="21"/>
      <c r="L7" s="21"/>
      <c r="M7" s="21"/>
      <c r="N7" s="6"/>
    </row>
    <row r="8" spans="2:14" ht="15.75" x14ac:dyDescent="0.25">
      <c r="B8" s="7" t="s">
        <v>7</v>
      </c>
      <c r="C8" s="1">
        <v>1</v>
      </c>
      <c r="D8" s="1">
        <v>2</v>
      </c>
      <c r="E8" s="1">
        <v>3</v>
      </c>
      <c r="F8" s="1">
        <v>4</v>
      </c>
      <c r="G8" s="1">
        <v>5</v>
      </c>
      <c r="H8" s="77">
        <v>6</v>
      </c>
      <c r="I8" s="160" t="s">
        <v>125</v>
      </c>
      <c r="J8" s="220"/>
      <c r="K8" s="220"/>
      <c r="L8" s="220"/>
      <c r="M8" s="220"/>
      <c r="N8" s="221"/>
    </row>
    <row r="9" spans="2:14" ht="15.75" x14ac:dyDescent="0.25">
      <c r="B9" s="87" t="s">
        <v>10</v>
      </c>
      <c r="C9" s="19">
        <v>45</v>
      </c>
      <c r="D9" s="19">
        <v>45</v>
      </c>
      <c r="E9" s="19">
        <v>45</v>
      </c>
      <c r="F9" s="19">
        <v>49</v>
      </c>
      <c r="G9" s="19">
        <v>48</v>
      </c>
      <c r="H9" s="95">
        <v>52</v>
      </c>
      <c r="I9" s="222"/>
      <c r="J9" s="223"/>
      <c r="K9" s="223"/>
      <c r="L9" s="223"/>
      <c r="M9" s="223"/>
      <c r="N9" s="224"/>
    </row>
    <row r="10" spans="2:14" ht="16.5" thickBot="1" x14ac:dyDescent="0.3">
      <c r="B10" s="94" t="s">
        <v>12</v>
      </c>
      <c r="C10" s="93">
        <v>75</v>
      </c>
      <c r="D10" s="93">
        <v>72</v>
      </c>
      <c r="E10" s="93">
        <v>73</v>
      </c>
      <c r="F10" s="93">
        <v>72</v>
      </c>
      <c r="G10" s="93">
        <v>72</v>
      </c>
      <c r="H10" s="97">
        <v>75</v>
      </c>
      <c r="I10" s="225"/>
      <c r="J10" s="226"/>
      <c r="K10" s="226"/>
      <c r="L10" s="226"/>
      <c r="M10" s="226"/>
      <c r="N10" s="227"/>
    </row>
    <row r="12" spans="2:14" ht="15.75" thickBot="1" x14ac:dyDescent="0.3"/>
    <row r="13" spans="2:14" ht="15.75" x14ac:dyDescent="0.25">
      <c r="B13" s="2" t="s">
        <v>0</v>
      </c>
      <c r="C13" s="175" t="s">
        <v>59</v>
      </c>
      <c r="D13" s="176"/>
      <c r="E13" s="177" t="s">
        <v>1</v>
      </c>
      <c r="F13" s="178"/>
      <c r="G13" s="11">
        <v>120</v>
      </c>
      <c r="H13" s="179" t="s">
        <v>2</v>
      </c>
      <c r="I13" s="180"/>
      <c r="J13" s="181"/>
      <c r="K13" s="13">
        <v>120</v>
      </c>
      <c r="L13" s="3"/>
      <c r="M13" s="80" t="s">
        <v>11</v>
      </c>
      <c r="N13" s="98">
        <v>44568</v>
      </c>
    </row>
    <row r="14" spans="2:14" ht="15.75" x14ac:dyDescent="0.25">
      <c r="B14" s="4" t="s">
        <v>3</v>
      </c>
      <c r="C14" s="10">
        <v>9480</v>
      </c>
      <c r="D14" s="169" t="s">
        <v>57</v>
      </c>
      <c r="E14" s="170"/>
      <c r="F14" s="171"/>
      <c r="G14" s="18">
        <v>6054</v>
      </c>
      <c r="H14" s="172" t="s">
        <v>4</v>
      </c>
      <c r="I14" s="173"/>
      <c r="J14" s="174"/>
      <c r="K14" s="10">
        <v>58</v>
      </c>
      <c r="L14" s="15"/>
      <c r="M14" s="15"/>
      <c r="N14" s="16"/>
    </row>
    <row r="15" spans="2:14" ht="15.75" x14ac:dyDescent="0.25">
      <c r="B15" s="4" t="s">
        <v>5</v>
      </c>
      <c r="C15" s="19">
        <v>60</v>
      </c>
      <c r="D15" s="169" t="s">
        <v>8</v>
      </c>
      <c r="E15" s="170"/>
      <c r="F15" s="171"/>
      <c r="G15" s="17">
        <v>0.34</v>
      </c>
      <c r="H15" s="172" t="s">
        <v>9</v>
      </c>
      <c r="I15" s="173"/>
      <c r="J15" s="174"/>
      <c r="K15" s="12">
        <v>0.91</v>
      </c>
      <c r="L15" s="172" t="s">
        <v>6</v>
      </c>
      <c r="M15" s="174"/>
      <c r="N15" s="20">
        <v>2.68</v>
      </c>
    </row>
    <row r="16" spans="2:14" ht="16.5" thickBot="1" x14ac:dyDescent="0.3">
      <c r="B16" s="5"/>
      <c r="C16" s="9"/>
      <c r="D16" s="9"/>
      <c r="E16" s="9"/>
      <c r="F16" s="9"/>
      <c r="G16" s="9"/>
      <c r="H16" s="79"/>
      <c r="I16" s="21"/>
      <c r="J16" s="21"/>
      <c r="K16" s="21"/>
      <c r="L16" s="21"/>
      <c r="M16" s="21"/>
      <c r="N16" s="6"/>
    </row>
    <row r="17" spans="2:14" ht="15.75" x14ac:dyDescent="0.25">
      <c r="B17" s="7" t="s">
        <v>7</v>
      </c>
      <c r="C17" s="1">
        <v>1</v>
      </c>
      <c r="D17" s="1">
        <v>2</v>
      </c>
      <c r="E17" s="1">
        <v>3</v>
      </c>
      <c r="F17" s="1">
        <v>4</v>
      </c>
      <c r="G17" s="1">
        <v>5</v>
      </c>
      <c r="H17" s="77">
        <v>6</v>
      </c>
      <c r="I17" s="160" t="s">
        <v>127</v>
      </c>
      <c r="J17" s="220"/>
      <c r="K17" s="220"/>
      <c r="L17" s="220"/>
      <c r="M17" s="220"/>
      <c r="N17" s="221"/>
    </row>
    <row r="18" spans="2:14" ht="15.75" x14ac:dyDescent="0.25">
      <c r="B18" s="87" t="s">
        <v>10</v>
      </c>
      <c r="C18" s="19">
        <v>48</v>
      </c>
      <c r="D18" s="19">
        <v>45</v>
      </c>
      <c r="E18" s="19">
        <v>48</v>
      </c>
      <c r="F18" s="19">
        <v>50</v>
      </c>
      <c r="G18" s="19">
        <v>49</v>
      </c>
      <c r="H18" s="95">
        <v>50</v>
      </c>
      <c r="I18" s="222"/>
      <c r="J18" s="223"/>
      <c r="K18" s="223"/>
      <c r="L18" s="223"/>
      <c r="M18" s="223"/>
      <c r="N18" s="224"/>
    </row>
    <row r="19" spans="2:14" ht="16.5" thickBot="1" x14ac:dyDescent="0.3">
      <c r="B19" s="94" t="s">
        <v>12</v>
      </c>
      <c r="C19" s="93">
        <v>99</v>
      </c>
      <c r="D19" s="93">
        <v>87</v>
      </c>
      <c r="E19" s="93">
        <v>94</v>
      </c>
      <c r="F19" s="93">
        <v>98</v>
      </c>
      <c r="G19" s="93">
        <v>99</v>
      </c>
      <c r="H19" s="97">
        <v>98</v>
      </c>
      <c r="I19" s="225"/>
      <c r="J19" s="226"/>
      <c r="K19" s="226"/>
      <c r="L19" s="226"/>
      <c r="M19" s="226"/>
      <c r="N19" s="227"/>
    </row>
    <row r="21" spans="2:14" ht="15.75" thickBot="1" x14ac:dyDescent="0.3"/>
    <row r="22" spans="2:14" ht="15.75" x14ac:dyDescent="0.25">
      <c r="B22" s="2" t="s">
        <v>0</v>
      </c>
      <c r="C22" s="175" t="s">
        <v>59</v>
      </c>
      <c r="D22" s="176"/>
      <c r="E22" s="177" t="s">
        <v>1</v>
      </c>
      <c r="F22" s="178"/>
      <c r="G22" s="11">
        <v>120</v>
      </c>
      <c r="H22" s="179" t="s">
        <v>2</v>
      </c>
      <c r="I22" s="180"/>
      <c r="J22" s="181"/>
      <c r="K22" s="13">
        <v>120</v>
      </c>
      <c r="L22" s="3"/>
      <c r="M22" s="80" t="s">
        <v>11</v>
      </c>
      <c r="N22" s="98">
        <v>44576</v>
      </c>
    </row>
    <row r="23" spans="2:14" ht="15.75" x14ac:dyDescent="0.25">
      <c r="B23" s="4" t="s">
        <v>3</v>
      </c>
      <c r="C23" s="10">
        <v>9674</v>
      </c>
      <c r="D23" s="169" t="s">
        <v>57</v>
      </c>
      <c r="E23" s="170"/>
      <c r="F23" s="171"/>
      <c r="G23" s="18">
        <v>6342</v>
      </c>
      <c r="H23" s="172" t="s">
        <v>4</v>
      </c>
      <c r="I23" s="173"/>
      <c r="J23" s="174"/>
      <c r="K23" s="10">
        <v>56</v>
      </c>
      <c r="L23" s="15"/>
      <c r="M23" s="15"/>
      <c r="N23" s="16"/>
    </row>
    <row r="24" spans="2:14" ht="15.75" x14ac:dyDescent="0.25">
      <c r="B24" s="4" t="s">
        <v>5</v>
      </c>
      <c r="C24" s="19">
        <v>61</v>
      </c>
      <c r="D24" s="169" t="s">
        <v>8</v>
      </c>
      <c r="E24" s="170"/>
      <c r="F24" s="171"/>
      <c r="G24" s="17">
        <v>0.34</v>
      </c>
      <c r="H24" s="172" t="s">
        <v>9</v>
      </c>
      <c r="I24" s="173"/>
      <c r="J24" s="174"/>
      <c r="K24" s="12">
        <v>0.88</v>
      </c>
      <c r="L24" s="172" t="s">
        <v>6</v>
      </c>
      <c r="M24" s="174"/>
      <c r="N24" s="20">
        <v>2.68</v>
      </c>
    </row>
    <row r="25" spans="2:14" ht="16.5" thickBot="1" x14ac:dyDescent="0.3">
      <c r="B25" s="5"/>
      <c r="C25" s="9"/>
      <c r="D25" s="9"/>
      <c r="E25" s="9"/>
      <c r="F25" s="9"/>
      <c r="G25" s="9"/>
      <c r="H25" s="79"/>
      <c r="I25" s="21"/>
      <c r="J25" s="21"/>
      <c r="K25" s="21"/>
      <c r="L25" s="21"/>
      <c r="M25" s="21"/>
      <c r="N25" s="6"/>
    </row>
    <row r="26" spans="2:14" ht="15.75" x14ac:dyDescent="0.25">
      <c r="B26" s="7" t="s">
        <v>7</v>
      </c>
      <c r="C26" s="1">
        <v>1</v>
      </c>
      <c r="D26" s="1">
        <v>2</v>
      </c>
      <c r="E26" s="1">
        <v>3</v>
      </c>
      <c r="F26" s="1">
        <v>4</v>
      </c>
      <c r="G26" s="1">
        <v>5</v>
      </c>
      <c r="H26" s="77">
        <v>6</v>
      </c>
      <c r="I26" s="160" t="s">
        <v>129</v>
      </c>
      <c r="J26" s="220"/>
      <c r="K26" s="220"/>
      <c r="L26" s="220"/>
      <c r="M26" s="220"/>
      <c r="N26" s="221"/>
    </row>
    <row r="27" spans="2:14" ht="15.75" x14ac:dyDescent="0.25">
      <c r="B27" s="87" t="s">
        <v>10</v>
      </c>
      <c r="C27" s="19">
        <v>46</v>
      </c>
      <c r="D27" s="19">
        <v>46</v>
      </c>
      <c r="E27" s="19">
        <v>48</v>
      </c>
      <c r="F27" s="19">
        <v>49</v>
      </c>
      <c r="G27" s="19">
        <v>44</v>
      </c>
      <c r="H27" s="95">
        <v>49</v>
      </c>
      <c r="I27" s="222"/>
      <c r="J27" s="223"/>
      <c r="K27" s="223"/>
      <c r="L27" s="223"/>
      <c r="M27" s="223"/>
      <c r="N27" s="224"/>
    </row>
    <row r="28" spans="2:14" ht="16.5" thickBot="1" x14ac:dyDescent="0.3">
      <c r="B28" s="94" t="s">
        <v>12</v>
      </c>
      <c r="C28" s="93">
        <v>98</v>
      </c>
      <c r="D28" s="93">
        <v>89</v>
      </c>
      <c r="E28" s="93">
        <v>93</v>
      </c>
      <c r="F28" s="93">
        <v>96</v>
      </c>
      <c r="G28" s="93">
        <v>98</v>
      </c>
      <c r="H28" s="97">
        <v>96</v>
      </c>
      <c r="I28" s="225"/>
      <c r="J28" s="226"/>
      <c r="K28" s="226"/>
      <c r="L28" s="226"/>
      <c r="M28" s="226"/>
      <c r="N28" s="227"/>
    </row>
    <row r="30" spans="2:14" ht="15.75" thickBot="1" x14ac:dyDescent="0.3"/>
    <row r="31" spans="2:14" ht="15.75" x14ac:dyDescent="0.25">
      <c r="B31" s="2" t="s">
        <v>0</v>
      </c>
      <c r="C31" s="175" t="s">
        <v>59</v>
      </c>
      <c r="D31" s="176"/>
      <c r="E31" s="177" t="s">
        <v>1</v>
      </c>
      <c r="F31" s="178"/>
      <c r="G31" s="11">
        <v>120</v>
      </c>
      <c r="H31" s="179" t="s">
        <v>2</v>
      </c>
      <c r="I31" s="180"/>
      <c r="J31" s="181"/>
      <c r="K31" s="13">
        <v>120</v>
      </c>
      <c r="L31" s="3"/>
      <c r="M31" s="80" t="s">
        <v>11</v>
      </c>
      <c r="N31" s="98">
        <v>44583</v>
      </c>
    </row>
    <row r="32" spans="2:14" ht="15.75" x14ac:dyDescent="0.25">
      <c r="B32" s="4" t="s">
        <v>3</v>
      </c>
      <c r="C32" s="10">
        <v>9844</v>
      </c>
      <c r="D32" s="169" t="s">
        <v>57</v>
      </c>
      <c r="E32" s="170"/>
      <c r="F32" s="171"/>
      <c r="G32" s="18">
        <v>8230</v>
      </c>
      <c r="H32" s="172" t="s">
        <v>4</v>
      </c>
      <c r="I32" s="173"/>
      <c r="J32" s="174"/>
      <c r="K32" s="10">
        <v>62</v>
      </c>
      <c r="L32" s="15"/>
      <c r="M32" s="15"/>
      <c r="N32" s="16"/>
    </row>
    <row r="33" spans="2:14" ht="15.75" x14ac:dyDescent="0.25">
      <c r="B33" s="4" t="s">
        <v>5</v>
      </c>
      <c r="C33" s="19">
        <v>69</v>
      </c>
      <c r="D33" s="169" t="s">
        <v>8</v>
      </c>
      <c r="E33" s="170"/>
      <c r="F33" s="171"/>
      <c r="G33" s="17">
        <v>0.34</v>
      </c>
      <c r="H33" s="172" t="s">
        <v>9</v>
      </c>
      <c r="I33" s="173"/>
      <c r="J33" s="174"/>
      <c r="K33" s="12">
        <v>0.88</v>
      </c>
      <c r="L33" s="172" t="s">
        <v>6</v>
      </c>
      <c r="M33" s="174"/>
      <c r="N33" s="20">
        <v>2.68</v>
      </c>
    </row>
    <row r="34" spans="2:14" ht="16.5" thickBot="1" x14ac:dyDescent="0.3">
      <c r="B34" s="5"/>
      <c r="C34" s="9"/>
      <c r="D34" s="9"/>
      <c r="E34" s="9"/>
      <c r="F34" s="9"/>
      <c r="G34" s="9"/>
      <c r="H34" s="79"/>
      <c r="I34" s="21"/>
      <c r="J34" s="21"/>
      <c r="K34" s="21"/>
      <c r="L34" s="21"/>
      <c r="M34" s="21"/>
      <c r="N34" s="6"/>
    </row>
    <row r="35" spans="2:14" ht="15.75" x14ac:dyDescent="0.25">
      <c r="B35" s="7" t="s">
        <v>7</v>
      </c>
      <c r="C35" s="1">
        <v>1</v>
      </c>
      <c r="D35" s="1">
        <v>2</v>
      </c>
      <c r="E35" s="1">
        <v>3</v>
      </c>
      <c r="F35" s="1">
        <v>4</v>
      </c>
      <c r="G35" s="1">
        <v>5</v>
      </c>
      <c r="H35" s="77">
        <v>6</v>
      </c>
      <c r="I35" s="160" t="s">
        <v>128</v>
      </c>
      <c r="J35" s="220"/>
      <c r="K35" s="220"/>
      <c r="L35" s="220"/>
      <c r="M35" s="220"/>
      <c r="N35" s="221"/>
    </row>
    <row r="36" spans="2:14" ht="15.75" x14ac:dyDescent="0.25">
      <c r="B36" s="87" t="s">
        <v>10</v>
      </c>
      <c r="C36" s="19">
        <v>45</v>
      </c>
      <c r="D36" s="19">
        <v>45</v>
      </c>
      <c r="E36" s="19">
        <v>46</v>
      </c>
      <c r="F36" s="19">
        <v>47</v>
      </c>
      <c r="G36" s="19">
        <v>46</v>
      </c>
      <c r="H36" s="95">
        <v>48</v>
      </c>
      <c r="I36" s="222"/>
      <c r="J36" s="223"/>
      <c r="K36" s="223"/>
      <c r="L36" s="223"/>
      <c r="M36" s="223"/>
      <c r="N36" s="224"/>
    </row>
    <row r="37" spans="2:14" ht="16.5" thickBot="1" x14ac:dyDescent="0.3">
      <c r="B37" s="94" t="s">
        <v>12</v>
      </c>
      <c r="C37" s="93">
        <v>97</v>
      </c>
      <c r="D37" s="93">
        <v>90</v>
      </c>
      <c r="E37" s="93">
        <v>94</v>
      </c>
      <c r="F37" s="93">
        <v>92</v>
      </c>
      <c r="G37" s="93">
        <v>98</v>
      </c>
      <c r="H37" s="97">
        <v>97</v>
      </c>
      <c r="I37" s="225"/>
      <c r="J37" s="226"/>
      <c r="K37" s="226"/>
      <c r="L37" s="226"/>
      <c r="M37" s="226"/>
      <c r="N37" s="227"/>
    </row>
    <row r="39" spans="2:14" ht="15.75" thickBot="1" x14ac:dyDescent="0.3"/>
    <row r="40" spans="2:14" ht="15.75" x14ac:dyDescent="0.25">
      <c r="B40" s="2" t="s">
        <v>0</v>
      </c>
      <c r="C40" s="175" t="s">
        <v>59</v>
      </c>
      <c r="D40" s="176"/>
      <c r="E40" s="177" t="s">
        <v>1</v>
      </c>
      <c r="F40" s="178"/>
      <c r="G40" s="11">
        <v>120</v>
      </c>
      <c r="H40" s="179" t="s">
        <v>2</v>
      </c>
      <c r="I40" s="180"/>
      <c r="J40" s="181"/>
      <c r="K40" s="13">
        <v>120</v>
      </c>
      <c r="L40" s="3"/>
      <c r="M40" s="80" t="s">
        <v>11</v>
      </c>
      <c r="N40" s="98">
        <v>44589</v>
      </c>
    </row>
    <row r="41" spans="2:14" ht="15.75" x14ac:dyDescent="0.25">
      <c r="B41" s="4" t="s">
        <v>3</v>
      </c>
      <c r="C41" s="10">
        <v>9949</v>
      </c>
      <c r="D41" s="169" t="s">
        <v>57</v>
      </c>
      <c r="E41" s="170"/>
      <c r="F41" s="171"/>
      <c r="G41" s="18">
        <v>10507</v>
      </c>
      <c r="H41" s="172" t="s">
        <v>4</v>
      </c>
      <c r="I41" s="173"/>
      <c r="J41" s="174"/>
      <c r="K41" s="10">
        <v>66</v>
      </c>
      <c r="L41" s="15"/>
      <c r="M41" s="15"/>
      <c r="N41" s="16"/>
    </row>
    <row r="42" spans="2:14" ht="15.75" x14ac:dyDescent="0.25">
      <c r="B42" s="4" t="s">
        <v>5</v>
      </c>
      <c r="C42" s="19">
        <v>85</v>
      </c>
      <c r="D42" s="169" t="s">
        <v>8</v>
      </c>
      <c r="E42" s="170"/>
      <c r="F42" s="171"/>
      <c r="G42" s="17">
        <v>0.33</v>
      </c>
      <c r="H42" s="172" t="s">
        <v>9</v>
      </c>
      <c r="I42" s="173"/>
      <c r="J42" s="174"/>
      <c r="K42" s="12">
        <v>0.88</v>
      </c>
      <c r="L42" s="172" t="s">
        <v>6</v>
      </c>
      <c r="M42" s="174"/>
      <c r="N42" s="20">
        <v>2.68</v>
      </c>
    </row>
    <row r="43" spans="2:14" ht="16.5" thickBot="1" x14ac:dyDescent="0.3">
      <c r="B43" s="5"/>
      <c r="C43" s="9"/>
      <c r="D43" s="9"/>
      <c r="E43" s="9"/>
      <c r="F43" s="9"/>
      <c r="G43" s="9"/>
      <c r="H43" s="79"/>
      <c r="I43" s="21"/>
      <c r="J43" s="21"/>
      <c r="K43" s="21"/>
      <c r="L43" s="21"/>
      <c r="M43" s="21"/>
      <c r="N43" s="6"/>
    </row>
    <row r="44" spans="2:14" ht="15.75" x14ac:dyDescent="0.25">
      <c r="B44" s="7" t="s">
        <v>7</v>
      </c>
      <c r="C44" s="1">
        <v>1</v>
      </c>
      <c r="D44" s="1">
        <v>2</v>
      </c>
      <c r="E44" s="1">
        <v>3</v>
      </c>
      <c r="F44" s="1">
        <v>4</v>
      </c>
      <c r="G44" s="1">
        <v>5</v>
      </c>
      <c r="H44" s="77">
        <v>6</v>
      </c>
      <c r="I44" s="160" t="s">
        <v>130</v>
      </c>
      <c r="J44" s="220"/>
      <c r="K44" s="220"/>
      <c r="L44" s="220"/>
      <c r="M44" s="220"/>
      <c r="N44" s="221"/>
    </row>
    <row r="45" spans="2:14" ht="15.75" x14ac:dyDescent="0.25">
      <c r="B45" s="87" t="s">
        <v>10</v>
      </c>
      <c r="C45" s="19">
        <v>49</v>
      </c>
      <c r="D45" s="19">
        <v>46</v>
      </c>
      <c r="E45" s="19">
        <v>47</v>
      </c>
      <c r="F45" s="19">
        <v>48</v>
      </c>
      <c r="G45" s="19">
        <v>46</v>
      </c>
      <c r="H45" s="95">
        <v>45</v>
      </c>
      <c r="I45" s="222"/>
      <c r="J45" s="223"/>
      <c r="K45" s="223"/>
      <c r="L45" s="223"/>
      <c r="M45" s="223"/>
      <c r="N45" s="224"/>
    </row>
    <row r="46" spans="2:14" ht="16.5" thickBot="1" x14ac:dyDescent="0.3">
      <c r="B46" s="94" t="s">
        <v>12</v>
      </c>
      <c r="C46" s="93">
        <v>98</v>
      </c>
      <c r="D46" s="93">
        <v>93</v>
      </c>
      <c r="E46" s="93">
        <v>97</v>
      </c>
      <c r="F46" s="93">
        <v>98</v>
      </c>
      <c r="G46" s="93">
        <v>97</v>
      </c>
      <c r="H46" s="97">
        <v>99</v>
      </c>
      <c r="I46" s="225"/>
      <c r="J46" s="226"/>
      <c r="K46" s="226"/>
      <c r="L46" s="226"/>
      <c r="M46" s="226"/>
      <c r="N46" s="227"/>
    </row>
    <row r="48" spans="2:14" ht="15.75" thickBot="1" x14ac:dyDescent="0.3"/>
    <row r="49" spans="2:14" ht="15.75" x14ac:dyDescent="0.25">
      <c r="B49" s="2" t="s">
        <v>0</v>
      </c>
      <c r="C49" s="175" t="s">
        <v>59</v>
      </c>
      <c r="D49" s="176"/>
      <c r="E49" s="177" t="s">
        <v>1</v>
      </c>
      <c r="F49" s="178"/>
      <c r="G49" s="11">
        <v>120</v>
      </c>
      <c r="H49" s="179" t="s">
        <v>2</v>
      </c>
      <c r="I49" s="180"/>
      <c r="J49" s="181"/>
      <c r="K49" s="13">
        <v>120</v>
      </c>
      <c r="L49" s="3"/>
      <c r="M49" s="80" t="s">
        <v>11</v>
      </c>
      <c r="N49" s="98">
        <v>44597</v>
      </c>
    </row>
    <row r="50" spans="2:14" ht="15.75" x14ac:dyDescent="0.25">
      <c r="B50" s="4" t="s">
        <v>3</v>
      </c>
      <c r="C50" s="10">
        <v>10076</v>
      </c>
      <c r="D50" s="169" t="s">
        <v>57</v>
      </c>
      <c r="E50" s="170"/>
      <c r="F50" s="171"/>
      <c r="G50" s="18">
        <v>6080</v>
      </c>
      <c r="H50" s="172" t="s">
        <v>4</v>
      </c>
      <c r="I50" s="173"/>
      <c r="J50" s="174"/>
      <c r="K50" s="10">
        <v>67</v>
      </c>
      <c r="L50" s="15"/>
      <c r="M50" s="15"/>
      <c r="N50" s="16"/>
    </row>
    <row r="51" spans="2:14" ht="15.75" x14ac:dyDescent="0.25">
      <c r="B51" s="4" t="s">
        <v>5</v>
      </c>
      <c r="C51" s="19">
        <v>81</v>
      </c>
      <c r="D51" s="169" t="s">
        <v>8</v>
      </c>
      <c r="E51" s="170"/>
      <c r="F51" s="171"/>
      <c r="G51" s="17">
        <v>0.33</v>
      </c>
      <c r="H51" s="172" t="s">
        <v>9</v>
      </c>
      <c r="I51" s="173"/>
      <c r="J51" s="174"/>
      <c r="K51" s="12">
        <v>0.88</v>
      </c>
      <c r="L51" s="172" t="s">
        <v>6</v>
      </c>
      <c r="M51" s="174"/>
      <c r="N51" s="20">
        <v>2.68</v>
      </c>
    </row>
    <row r="52" spans="2:14" ht="16.5" thickBot="1" x14ac:dyDescent="0.3">
      <c r="B52" s="5"/>
      <c r="C52" s="9"/>
      <c r="D52" s="9"/>
      <c r="E52" s="9"/>
      <c r="F52" s="9"/>
      <c r="G52" s="9"/>
      <c r="H52" s="79"/>
      <c r="I52" s="21"/>
      <c r="J52" s="21"/>
      <c r="K52" s="21"/>
      <c r="L52" s="21"/>
      <c r="M52" s="21"/>
      <c r="N52" s="6"/>
    </row>
    <row r="53" spans="2:14" ht="15.75" x14ac:dyDescent="0.25">
      <c r="B53" s="7" t="s">
        <v>7</v>
      </c>
      <c r="C53" s="1">
        <v>1</v>
      </c>
      <c r="D53" s="1">
        <v>2</v>
      </c>
      <c r="E53" s="1">
        <v>3</v>
      </c>
      <c r="F53" s="1">
        <v>4</v>
      </c>
      <c r="G53" s="1">
        <v>5</v>
      </c>
      <c r="H53" s="77">
        <v>6</v>
      </c>
      <c r="I53" s="160" t="s">
        <v>131</v>
      </c>
      <c r="J53" s="220"/>
      <c r="K53" s="220"/>
      <c r="L53" s="220"/>
      <c r="M53" s="220"/>
      <c r="N53" s="221"/>
    </row>
    <row r="54" spans="2:14" ht="15.75" x14ac:dyDescent="0.25">
      <c r="B54" s="87" t="s">
        <v>10</v>
      </c>
      <c r="C54" s="19">
        <v>50</v>
      </c>
      <c r="D54" s="19">
        <v>48</v>
      </c>
      <c r="E54" s="19">
        <v>46</v>
      </c>
      <c r="F54" s="19">
        <v>46</v>
      </c>
      <c r="G54" s="19">
        <v>47</v>
      </c>
      <c r="H54" s="95">
        <v>47</v>
      </c>
      <c r="I54" s="222"/>
      <c r="J54" s="223"/>
      <c r="K54" s="223"/>
      <c r="L54" s="223"/>
      <c r="M54" s="223"/>
      <c r="N54" s="224"/>
    </row>
    <row r="55" spans="2:14" ht="16.5" thickBot="1" x14ac:dyDescent="0.3">
      <c r="B55" s="94" t="s">
        <v>12</v>
      </c>
      <c r="C55" s="93">
        <v>99</v>
      </c>
      <c r="D55" s="93">
        <v>98</v>
      </c>
      <c r="E55" s="93">
        <v>96</v>
      </c>
      <c r="F55" s="93">
        <v>97</v>
      </c>
      <c r="G55" s="93">
        <v>95</v>
      </c>
      <c r="H55" s="97">
        <v>97</v>
      </c>
      <c r="I55" s="225"/>
      <c r="J55" s="226"/>
      <c r="K55" s="226"/>
      <c r="L55" s="226"/>
      <c r="M55" s="226"/>
      <c r="N55" s="227"/>
    </row>
    <row r="57" spans="2:14" ht="15.75" thickBot="1" x14ac:dyDescent="0.3"/>
    <row r="58" spans="2:14" ht="15.75" x14ac:dyDescent="0.25">
      <c r="B58" s="2" t="s">
        <v>0</v>
      </c>
      <c r="C58" s="175" t="s">
        <v>59</v>
      </c>
      <c r="D58" s="176"/>
      <c r="E58" s="177" t="s">
        <v>1</v>
      </c>
      <c r="F58" s="178"/>
      <c r="G58" s="11">
        <v>120</v>
      </c>
      <c r="H58" s="179" t="s">
        <v>2</v>
      </c>
      <c r="I58" s="180"/>
      <c r="J58" s="181"/>
      <c r="K58" s="13">
        <v>120</v>
      </c>
      <c r="L58" s="3"/>
      <c r="M58" s="80" t="s">
        <v>11</v>
      </c>
      <c r="N58" s="98">
        <v>44604</v>
      </c>
    </row>
    <row r="59" spans="2:14" ht="15.75" x14ac:dyDescent="0.25">
      <c r="B59" s="4" t="s">
        <v>3</v>
      </c>
      <c r="C59" s="10">
        <v>10192</v>
      </c>
      <c r="D59" s="169" t="s">
        <v>57</v>
      </c>
      <c r="E59" s="170"/>
      <c r="F59" s="171"/>
      <c r="G59" s="18">
        <v>7712</v>
      </c>
      <c r="H59" s="172" t="s">
        <v>4</v>
      </c>
      <c r="I59" s="173"/>
      <c r="J59" s="174"/>
      <c r="K59" s="10">
        <v>56</v>
      </c>
      <c r="L59" s="15"/>
      <c r="M59" s="15"/>
      <c r="N59" s="16"/>
    </row>
    <row r="60" spans="2:14" ht="15.75" x14ac:dyDescent="0.25">
      <c r="B60" s="4" t="s">
        <v>5</v>
      </c>
      <c r="C60" s="19">
        <v>57</v>
      </c>
      <c r="D60" s="169" t="s">
        <v>8</v>
      </c>
      <c r="E60" s="170"/>
      <c r="F60" s="171"/>
      <c r="G60" s="17">
        <v>0.33</v>
      </c>
      <c r="H60" s="172" t="s">
        <v>9</v>
      </c>
      <c r="I60" s="173"/>
      <c r="J60" s="174"/>
      <c r="K60" s="12">
        <v>0.88</v>
      </c>
      <c r="L60" s="172" t="s">
        <v>6</v>
      </c>
      <c r="M60" s="174"/>
      <c r="N60" s="20">
        <v>2.68</v>
      </c>
    </row>
    <row r="61" spans="2:14" ht="16.5" thickBot="1" x14ac:dyDescent="0.3">
      <c r="B61" s="5"/>
      <c r="C61" s="9"/>
      <c r="D61" s="9"/>
      <c r="E61" s="9"/>
      <c r="F61" s="9"/>
      <c r="G61" s="9"/>
      <c r="H61" s="79"/>
      <c r="I61" s="21"/>
      <c r="J61" s="21"/>
      <c r="K61" s="21"/>
      <c r="L61" s="21"/>
      <c r="M61" s="21"/>
      <c r="N61" s="6"/>
    </row>
    <row r="62" spans="2:14" ht="15.75" x14ac:dyDescent="0.25">
      <c r="B62" s="7" t="s">
        <v>7</v>
      </c>
      <c r="C62" s="1">
        <v>1</v>
      </c>
      <c r="D62" s="1">
        <v>2</v>
      </c>
      <c r="E62" s="1">
        <v>3</v>
      </c>
      <c r="F62" s="1">
        <v>4</v>
      </c>
      <c r="G62" s="1">
        <v>5</v>
      </c>
      <c r="H62" s="77">
        <v>6</v>
      </c>
      <c r="I62" s="160" t="s">
        <v>135</v>
      </c>
      <c r="J62" s="220"/>
      <c r="K62" s="220"/>
      <c r="L62" s="220"/>
      <c r="M62" s="220"/>
      <c r="N62" s="221"/>
    </row>
    <row r="63" spans="2:14" ht="15.75" x14ac:dyDescent="0.25">
      <c r="B63" s="87" t="s">
        <v>10</v>
      </c>
      <c r="C63" s="19">
        <v>48</v>
      </c>
      <c r="D63" s="19">
        <v>47</v>
      </c>
      <c r="E63" s="19">
        <v>47</v>
      </c>
      <c r="F63" s="19">
        <v>46</v>
      </c>
      <c r="G63" s="19">
        <v>48</v>
      </c>
      <c r="H63" s="95">
        <v>46</v>
      </c>
      <c r="I63" s="222"/>
      <c r="J63" s="223"/>
      <c r="K63" s="223"/>
      <c r="L63" s="223"/>
      <c r="M63" s="223"/>
      <c r="N63" s="224"/>
    </row>
    <row r="64" spans="2:14" ht="16.5" thickBot="1" x14ac:dyDescent="0.3">
      <c r="B64" s="94" t="s">
        <v>12</v>
      </c>
      <c r="C64" s="93">
        <v>98</v>
      </c>
      <c r="D64" s="93">
        <v>97</v>
      </c>
      <c r="E64" s="93">
        <v>97</v>
      </c>
      <c r="F64" s="93">
        <v>98</v>
      </c>
      <c r="G64" s="93">
        <v>96</v>
      </c>
      <c r="H64" s="97">
        <v>96</v>
      </c>
      <c r="I64" s="225"/>
      <c r="J64" s="226"/>
      <c r="K64" s="226"/>
      <c r="L64" s="226"/>
      <c r="M64" s="226"/>
      <c r="N64" s="227"/>
    </row>
    <row r="66" spans="2:14" ht="15.75" thickBot="1" x14ac:dyDescent="0.3"/>
    <row r="67" spans="2:14" ht="15.75" x14ac:dyDescent="0.25">
      <c r="B67" s="2" t="s">
        <v>0</v>
      </c>
      <c r="C67" s="175" t="s">
        <v>59</v>
      </c>
      <c r="D67" s="176"/>
      <c r="E67" s="177" t="s">
        <v>1</v>
      </c>
      <c r="F67" s="178"/>
      <c r="G67" s="11">
        <v>120</v>
      </c>
      <c r="H67" s="179" t="s">
        <v>2</v>
      </c>
      <c r="I67" s="180"/>
      <c r="J67" s="181"/>
      <c r="K67" s="13">
        <v>120</v>
      </c>
      <c r="L67" s="3"/>
      <c r="M67" s="80" t="s">
        <v>11</v>
      </c>
      <c r="N67" s="98">
        <v>44611</v>
      </c>
    </row>
    <row r="68" spans="2:14" ht="15.75" x14ac:dyDescent="0.25">
      <c r="B68" s="4" t="s">
        <v>3</v>
      </c>
      <c r="C68" s="10">
        <v>10358</v>
      </c>
      <c r="D68" s="169" t="s">
        <v>57</v>
      </c>
      <c r="E68" s="170"/>
      <c r="F68" s="171"/>
      <c r="G68" s="18">
        <v>7901</v>
      </c>
      <c r="H68" s="172" t="s">
        <v>4</v>
      </c>
      <c r="I68" s="173"/>
      <c r="J68" s="174"/>
      <c r="K68" s="10">
        <v>57</v>
      </c>
      <c r="L68" s="15"/>
      <c r="M68" s="15"/>
      <c r="N68" s="16"/>
    </row>
    <row r="69" spans="2:14" ht="15.75" x14ac:dyDescent="0.25">
      <c r="B69" s="4" t="s">
        <v>5</v>
      </c>
      <c r="C69" s="19">
        <v>65</v>
      </c>
      <c r="D69" s="169" t="s">
        <v>8</v>
      </c>
      <c r="E69" s="170"/>
      <c r="F69" s="171"/>
      <c r="G69" s="17">
        <v>0.33</v>
      </c>
      <c r="H69" s="172" t="s">
        <v>9</v>
      </c>
      <c r="I69" s="173"/>
      <c r="J69" s="174"/>
      <c r="K69" s="12">
        <v>0.88</v>
      </c>
      <c r="L69" s="172" t="s">
        <v>6</v>
      </c>
      <c r="M69" s="174"/>
      <c r="N69" s="20">
        <v>2.68</v>
      </c>
    </row>
    <row r="70" spans="2:14" ht="16.5" thickBot="1" x14ac:dyDescent="0.3">
      <c r="B70" s="5"/>
      <c r="C70" s="9"/>
      <c r="D70" s="9"/>
      <c r="E70" s="9"/>
      <c r="F70" s="9"/>
      <c r="G70" s="9"/>
      <c r="H70" s="79"/>
      <c r="I70" s="21"/>
      <c r="J70" s="21"/>
      <c r="K70" s="21"/>
      <c r="L70" s="21"/>
      <c r="M70" s="21"/>
      <c r="N70" s="6"/>
    </row>
    <row r="71" spans="2:14" ht="15.75" x14ac:dyDescent="0.25">
      <c r="B71" s="7" t="s">
        <v>7</v>
      </c>
      <c r="C71" s="1">
        <v>1</v>
      </c>
      <c r="D71" s="1">
        <v>2</v>
      </c>
      <c r="E71" s="1">
        <v>3</v>
      </c>
      <c r="F71" s="1">
        <v>4</v>
      </c>
      <c r="G71" s="1">
        <v>5</v>
      </c>
      <c r="H71" s="77">
        <v>6</v>
      </c>
      <c r="I71" s="160" t="s">
        <v>134</v>
      </c>
      <c r="J71" s="220"/>
      <c r="K71" s="220"/>
      <c r="L71" s="220"/>
      <c r="M71" s="220"/>
      <c r="N71" s="221"/>
    </row>
    <row r="72" spans="2:14" ht="15.75" x14ac:dyDescent="0.25">
      <c r="B72" s="87" t="s">
        <v>10</v>
      </c>
      <c r="C72" s="19">
        <v>46</v>
      </c>
      <c r="D72" s="19">
        <v>44</v>
      </c>
      <c r="E72" s="19">
        <v>48</v>
      </c>
      <c r="F72" s="19">
        <v>49</v>
      </c>
      <c r="G72" s="19">
        <v>49</v>
      </c>
      <c r="H72" s="95">
        <v>48</v>
      </c>
      <c r="I72" s="222"/>
      <c r="J72" s="223"/>
      <c r="K72" s="223"/>
      <c r="L72" s="223"/>
      <c r="M72" s="223"/>
      <c r="N72" s="224"/>
    </row>
    <row r="73" spans="2:14" ht="16.5" thickBot="1" x14ac:dyDescent="0.3">
      <c r="B73" s="94" t="s">
        <v>12</v>
      </c>
      <c r="C73" s="93">
        <v>96</v>
      </c>
      <c r="D73" s="93">
        <v>95</v>
      </c>
      <c r="E73" s="93">
        <v>98</v>
      </c>
      <c r="F73" s="93">
        <v>98</v>
      </c>
      <c r="G73" s="93">
        <v>96</v>
      </c>
      <c r="H73" s="97">
        <v>97</v>
      </c>
      <c r="I73" s="225"/>
      <c r="J73" s="226"/>
      <c r="K73" s="226"/>
      <c r="L73" s="226"/>
      <c r="M73" s="226"/>
      <c r="N73" s="227"/>
    </row>
    <row r="75" spans="2:14" ht="15.75" thickBot="1" x14ac:dyDescent="0.3"/>
    <row r="76" spans="2:14" ht="15.75" x14ac:dyDescent="0.25">
      <c r="B76" s="2" t="s">
        <v>0</v>
      </c>
      <c r="C76" s="175" t="s">
        <v>59</v>
      </c>
      <c r="D76" s="176"/>
      <c r="E76" s="177" t="s">
        <v>1</v>
      </c>
      <c r="F76" s="178"/>
      <c r="G76" s="11">
        <v>120</v>
      </c>
      <c r="H76" s="179" t="s">
        <v>2</v>
      </c>
      <c r="I76" s="180"/>
      <c r="J76" s="181"/>
      <c r="K76" s="13">
        <v>120</v>
      </c>
      <c r="L76" s="3"/>
      <c r="M76" s="80" t="s">
        <v>11</v>
      </c>
      <c r="N76" s="98">
        <v>44618</v>
      </c>
    </row>
    <row r="77" spans="2:14" ht="15.75" x14ac:dyDescent="0.25">
      <c r="B77" s="4" t="s">
        <v>3</v>
      </c>
      <c r="C77" s="10">
        <v>10523</v>
      </c>
      <c r="D77" s="169" t="s">
        <v>57</v>
      </c>
      <c r="E77" s="170"/>
      <c r="F77" s="171"/>
      <c r="G77" s="18">
        <v>7800</v>
      </c>
      <c r="H77" s="172" t="s">
        <v>4</v>
      </c>
      <c r="I77" s="173"/>
      <c r="J77" s="174"/>
      <c r="K77" s="10">
        <v>56</v>
      </c>
      <c r="L77" s="15"/>
      <c r="M77" s="15"/>
      <c r="N77" s="16"/>
    </row>
    <row r="78" spans="2:14" ht="15.75" x14ac:dyDescent="0.25">
      <c r="B78" s="4" t="s">
        <v>5</v>
      </c>
      <c r="C78" s="19">
        <v>68</v>
      </c>
      <c r="D78" s="169" t="s">
        <v>8</v>
      </c>
      <c r="E78" s="170"/>
      <c r="F78" s="171"/>
      <c r="G78" s="17">
        <v>0.33</v>
      </c>
      <c r="H78" s="172" t="s">
        <v>9</v>
      </c>
      <c r="I78" s="173"/>
      <c r="J78" s="174"/>
      <c r="K78" s="12">
        <v>0.88</v>
      </c>
      <c r="L78" s="172" t="s">
        <v>6</v>
      </c>
      <c r="M78" s="174"/>
      <c r="N78" s="20">
        <v>2.61</v>
      </c>
    </row>
    <row r="79" spans="2:14" ht="16.5" thickBot="1" x14ac:dyDescent="0.3">
      <c r="B79" s="5"/>
      <c r="C79" s="9"/>
      <c r="D79" s="9"/>
      <c r="E79" s="9"/>
      <c r="F79" s="9"/>
      <c r="G79" s="9"/>
      <c r="H79" s="79"/>
      <c r="I79" s="21"/>
      <c r="J79" s="21"/>
      <c r="K79" s="21"/>
      <c r="L79" s="21"/>
      <c r="M79" s="21"/>
      <c r="N79" s="6"/>
    </row>
    <row r="80" spans="2:14" ht="15.75" x14ac:dyDescent="0.25">
      <c r="B80" s="7" t="s">
        <v>7</v>
      </c>
      <c r="C80" s="1">
        <v>1</v>
      </c>
      <c r="D80" s="1">
        <v>2</v>
      </c>
      <c r="E80" s="1">
        <v>3</v>
      </c>
      <c r="F80" s="1">
        <v>4</v>
      </c>
      <c r="G80" s="1">
        <v>5</v>
      </c>
      <c r="H80" s="77">
        <v>6</v>
      </c>
      <c r="I80" s="160" t="s">
        <v>133</v>
      </c>
      <c r="J80" s="220"/>
      <c r="K80" s="220"/>
      <c r="L80" s="220"/>
      <c r="M80" s="220"/>
      <c r="N80" s="221"/>
    </row>
    <row r="81" spans="2:14" ht="15.75" x14ac:dyDescent="0.25">
      <c r="B81" s="87" t="s">
        <v>10</v>
      </c>
      <c r="C81" s="19">
        <v>49</v>
      </c>
      <c r="D81" s="19">
        <v>48</v>
      </c>
      <c r="E81" s="19">
        <v>49</v>
      </c>
      <c r="F81" s="19">
        <v>50</v>
      </c>
      <c r="G81" s="19">
        <v>49</v>
      </c>
      <c r="H81" s="95">
        <v>50</v>
      </c>
      <c r="I81" s="222"/>
      <c r="J81" s="223"/>
      <c r="K81" s="223"/>
      <c r="L81" s="223"/>
      <c r="M81" s="223"/>
      <c r="N81" s="224"/>
    </row>
    <row r="82" spans="2:14" ht="16.5" thickBot="1" x14ac:dyDescent="0.3">
      <c r="B82" s="94" t="s">
        <v>12</v>
      </c>
      <c r="C82" s="93">
        <v>97</v>
      </c>
      <c r="D82" s="93">
        <v>98</v>
      </c>
      <c r="E82" s="93">
        <v>96</v>
      </c>
      <c r="F82" s="93">
        <v>98</v>
      </c>
      <c r="G82" s="93">
        <v>97</v>
      </c>
      <c r="H82" s="97">
        <v>97</v>
      </c>
      <c r="I82" s="225"/>
      <c r="J82" s="226"/>
      <c r="K82" s="226"/>
      <c r="L82" s="226"/>
      <c r="M82" s="226"/>
      <c r="N82" s="227"/>
    </row>
    <row r="84" spans="2:14" ht="15.75" thickBot="1" x14ac:dyDescent="0.3"/>
    <row r="85" spans="2:14" ht="15.75" x14ac:dyDescent="0.25">
      <c r="B85" s="2" t="s">
        <v>0</v>
      </c>
      <c r="C85" s="175" t="s">
        <v>59</v>
      </c>
      <c r="D85" s="176"/>
      <c r="E85" s="177" t="s">
        <v>1</v>
      </c>
      <c r="F85" s="178"/>
      <c r="G85" s="11">
        <v>120</v>
      </c>
      <c r="H85" s="179" t="s">
        <v>2</v>
      </c>
      <c r="I85" s="180"/>
      <c r="J85" s="181"/>
      <c r="K85" s="13">
        <v>120</v>
      </c>
      <c r="L85" s="3"/>
      <c r="M85" s="80" t="s">
        <v>11</v>
      </c>
      <c r="N85" s="98">
        <v>44632</v>
      </c>
    </row>
    <row r="86" spans="2:14" ht="15.75" x14ac:dyDescent="0.25">
      <c r="B86" s="4" t="s">
        <v>3</v>
      </c>
      <c r="C86" s="10">
        <v>10617</v>
      </c>
      <c r="D86" s="169" t="s">
        <v>57</v>
      </c>
      <c r="E86" s="170"/>
      <c r="F86" s="171"/>
      <c r="G86" s="18">
        <v>3942</v>
      </c>
      <c r="H86" s="172" t="s">
        <v>4</v>
      </c>
      <c r="I86" s="173"/>
      <c r="J86" s="174"/>
      <c r="K86" s="10">
        <v>47</v>
      </c>
      <c r="L86" s="15"/>
      <c r="M86" s="15"/>
      <c r="N86" s="16"/>
    </row>
    <row r="87" spans="2:14" ht="15.75" x14ac:dyDescent="0.25">
      <c r="B87" s="4" t="s">
        <v>5</v>
      </c>
      <c r="C87" s="19">
        <v>54</v>
      </c>
      <c r="D87" s="169" t="s">
        <v>8</v>
      </c>
      <c r="E87" s="170"/>
      <c r="F87" s="171"/>
      <c r="G87" s="17">
        <v>0.33</v>
      </c>
      <c r="H87" s="172" t="s">
        <v>9</v>
      </c>
      <c r="I87" s="173"/>
      <c r="J87" s="174"/>
      <c r="K87" s="12">
        <v>0.88</v>
      </c>
      <c r="L87" s="172" t="s">
        <v>6</v>
      </c>
      <c r="M87" s="174"/>
      <c r="N87" s="20">
        <v>2.61</v>
      </c>
    </row>
    <row r="88" spans="2:14" ht="16.5" thickBot="1" x14ac:dyDescent="0.3">
      <c r="B88" s="5"/>
      <c r="C88" s="9"/>
      <c r="D88" s="9"/>
      <c r="E88" s="9"/>
      <c r="F88" s="9"/>
      <c r="G88" s="9"/>
      <c r="H88" s="79"/>
      <c r="I88" s="21"/>
      <c r="J88" s="21"/>
      <c r="K88" s="21"/>
      <c r="L88" s="21"/>
      <c r="M88" s="21"/>
      <c r="N88" s="6"/>
    </row>
    <row r="89" spans="2:14" ht="15.75" x14ac:dyDescent="0.25">
      <c r="B89" s="7" t="s">
        <v>7</v>
      </c>
      <c r="C89" s="1">
        <v>1</v>
      </c>
      <c r="D89" s="1">
        <v>2</v>
      </c>
      <c r="E89" s="1">
        <v>3</v>
      </c>
      <c r="F89" s="1">
        <v>4</v>
      </c>
      <c r="G89" s="1">
        <v>5</v>
      </c>
      <c r="H89" s="77">
        <v>6</v>
      </c>
      <c r="I89" s="160" t="s">
        <v>132</v>
      </c>
      <c r="J89" s="220"/>
      <c r="K89" s="220"/>
      <c r="L89" s="220"/>
      <c r="M89" s="220"/>
      <c r="N89" s="221"/>
    </row>
    <row r="90" spans="2:14" ht="15.75" x14ac:dyDescent="0.25">
      <c r="B90" s="87" t="s">
        <v>10</v>
      </c>
      <c r="C90" s="19">
        <v>50</v>
      </c>
      <c r="D90" s="19">
        <v>49</v>
      </c>
      <c r="E90" s="19">
        <v>50</v>
      </c>
      <c r="F90" s="19">
        <v>48</v>
      </c>
      <c r="G90" s="19">
        <v>48</v>
      </c>
      <c r="H90" s="95">
        <v>49</v>
      </c>
      <c r="I90" s="222"/>
      <c r="J90" s="223"/>
      <c r="K90" s="223"/>
      <c r="L90" s="223"/>
      <c r="M90" s="223"/>
      <c r="N90" s="224"/>
    </row>
    <row r="91" spans="2:14" ht="16.5" thickBot="1" x14ac:dyDescent="0.3">
      <c r="B91" s="94" t="s">
        <v>12</v>
      </c>
      <c r="C91" s="93">
        <v>94</v>
      </c>
      <c r="D91" s="93">
        <v>93</v>
      </c>
      <c r="E91" s="93">
        <v>97</v>
      </c>
      <c r="F91" s="93">
        <v>96</v>
      </c>
      <c r="G91" s="93">
        <v>96</v>
      </c>
      <c r="H91" s="97">
        <v>95</v>
      </c>
      <c r="I91" s="225"/>
      <c r="J91" s="226"/>
      <c r="K91" s="226"/>
      <c r="L91" s="226"/>
      <c r="M91" s="226"/>
      <c r="N91" s="227"/>
    </row>
    <row r="93" spans="2:14" ht="15.75" thickBot="1" x14ac:dyDescent="0.3"/>
    <row r="94" spans="2:14" ht="15.75" x14ac:dyDescent="0.25">
      <c r="B94" s="2" t="s">
        <v>0</v>
      </c>
      <c r="C94" s="175" t="s">
        <v>59</v>
      </c>
      <c r="D94" s="176"/>
      <c r="E94" s="177" t="s">
        <v>1</v>
      </c>
      <c r="F94" s="178"/>
      <c r="G94" s="11">
        <v>120</v>
      </c>
      <c r="H94" s="179" t="s">
        <v>2</v>
      </c>
      <c r="I94" s="180"/>
      <c r="J94" s="181"/>
      <c r="K94" s="13">
        <v>120</v>
      </c>
      <c r="L94" s="3"/>
      <c r="M94" s="80" t="s">
        <v>11</v>
      </c>
      <c r="N94" s="98">
        <v>44639</v>
      </c>
    </row>
    <row r="95" spans="2:14" ht="15.75" x14ac:dyDescent="0.25">
      <c r="B95" s="4" t="s">
        <v>3</v>
      </c>
      <c r="C95" s="10">
        <v>10809</v>
      </c>
      <c r="D95" s="169" t="s">
        <v>57</v>
      </c>
      <c r="E95" s="170"/>
      <c r="F95" s="171"/>
      <c r="G95" s="18">
        <v>2860</v>
      </c>
      <c r="H95" s="172" t="s">
        <v>4</v>
      </c>
      <c r="I95" s="173"/>
      <c r="J95" s="174"/>
      <c r="K95" s="10">
        <v>40</v>
      </c>
      <c r="L95" s="15"/>
      <c r="M95" s="15"/>
      <c r="N95" s="16"/>
    </row>
    <row r="96" spans="2:14" ht="15.75" x14ac:dyDescent="0.25">
      <c r="B96" s="4" t="s">
        <v>5</v>
      </c>
      <c r="C96" s="19">
        <v>36</v>
      </c>
      <c r="D96" s="169" t="s">
        <v>8</v>
      </c>
      <c r="E96" s="170"/>
      <c r="F96" s="171"/>
      <c r="G96" s="17">
        <v>0.33</v>
      </c>
      <c r="H96" s="172" t="s">
        <v>9</v>
      </c>
      <c r="I96" s="173"/>
      <c r="J96" s="174"/>
      <c r="K96" s="12">
        <v>0.88</v>
      </c>
      <c r="L96" s="172" t="s">
        <v>6</v>
      </c>
      <c r="M96" s="174"/>
      <c r="N96" s="20">
        <v>2.61</v>
      </c>
    </row>
    <row r="97" spans="2:14" ht="16.5" thickBot="1" x14ac:dyDescent="0.3">
      <c r="B97" s="5"/>
      <c r="C97" s="9"/>
      <c r="D97" s="9"/>
      <c r="E97" s="9"/>
      <c r="F97" s="9"/>
      <c r="G97" s="9"/>
      <c r="H97" s="79"/>
      <c r="I97" s="21"/>
      <c r="J97" s="21"/>
      <c r="K97" s="21"/>
      <c r="L97" s="21"/>
      <c r="M97" s="21"/>
      <c r="N97" s="6"/>
    </row>
    <row r="98" spans="2:14" ht="15.75" x14ac:dyDescent="0.25">
      <c r="B98" s="7" t="s">
        <v>7</v>
      </c>
      <c r="C98" s="1">
        <v>1</v>
      </c>
      <c r="D98" s="1">
        <v>2</v>
      </c>
      <c r="E98" s="1">
        <v>3</v>
      </c>
      <c r="F98" s="1">
        <v>4</v>
      </c>
      <c r="G98" s="1">
        <v>5</v>
      </c>
      <c r="H98" s="77">
        <v>6</v>
      </c>
      <c r="I98" s="160" t="s">
        <v>136</v>
      </c>
      <c r="J98" s="220"/>
      <c r="K98" s="220"/>
      <c r="L98" s="220"/>
      <c r="M98" s="220"/>
      <c r="N98" s="221"/>
    </row>
    <row r="99" spans="2:14" ht="15.75" x14ac:dyDescent="0.25">
      <c r="B99" s="87" t="s">
        <v>10</v>
      </c>
      <c r="C99" s="19">
        <v>53</v>
      </c>
      <c r="D99" s="19">
        <v>52</v>
      </c>
      <c r="E99" s="19">
        <v>54</v>
      </c>
      <c r="F99" s="19">
        <v>55</v>
      </c>
      <c r="G99" s="19">
        <v>55</v>
      </c>
      <c r="H99" s="95">
        <v>54</v>
      </c>
      <c r="I99" s="222"/>
      <c r="J99" s="223"/>
      <c r="K99" s="223"/>
      <c r="L99" s="223"/>
      <c r="M99" s="223"/>
      <c r="N99" s="224"/>
    </row>
    <row r="100" spans="2:14" ht="16.5" thickBot="1" x14ac:dyDescent="0.3">
      <c r="B100" s="94" t="s">
        <v>12</v>
      </c>
      <c r="C100" s="93">
        <v>95</v>
      </c>
      <c r="D100" s="93">
        <v>91</v>
      </c>
      <c r="E100" s="93">
        <v>98</v>
      </c>
      <c r="F100" s="93">
        <v>91</v>
      </c>
      <c r="G100" s="93">
        <v>99</v>
      </c>
      <c r="H100" s="97">
        <v>98</v>
      </c>
      <c r="I100" s="225"/>
      <c r="J100" s="226"/>
      <c r="K100" s="226"/>
      <c r="L100" s="226"/>
      <c r="M100" s="226"/>
      <c r="N100" s="227"/>
    </row>
    <row r="102" spans="2:14" ht="15.75" thickBot="1" x14ac:dyDescent="0.3"/>
    <row r="103" spans="2:14" ht="15.75" x14ac:dyDescent="0.25">
      <c r="B103" s="2" t="s">
        <v>0</v>
      </c>
      <c r="C103" s="175" t="s">
        <v>59</v>
      </c>
      <c r="D103" s="176"/>
      <c r="E103" s="177" t="s">
        <v>1</v>
      </c>
      <c r="F103" s="178"/>
      <c r="G103" s="11">
        <v>120</v>
      </c>
      <c r="H103" s="179" t="s">
        <v>2</v>
      </c>
      <c r="I103" s="180"/>
      <c r="J103" s="181"/>
      <c r="K103" s="13">
        <v>120</v>
      </c>
      <c r="L103" s="3"/>
      <c r="M103" s="80" t="s">
        <v>11</v>
      </c>
      <c r="N103" s="98">
        <v>44646</v>
      </c>
    </row>
    <row r="104" spans="2:14" ht="15.75" x14ac:dyDescent="0.25">
      <c r="B104" s="4" t="s">
        <v>3</v>
      </c>
      <c r="C104" s="10">
        <v>10977</v>
      </c>
      <c r="D104" s="169" t="s">
        <v>57</v>
      </c>
      <c r="E104" s="170"/>
      <c r="F104" s="171"/>
      <c r="G104" s="18">
        <v>2836</v>
      </c>
      <c r="H104" s="172" t="s">
        <v>4</v>
      </c>
      <c r="I104" s="173"/>
      <c r="J104" s="174"/>
      <c r="K104" s="10">
        <v>42</v>
      </c>
      <c r="L104" s="15"/>
      <c r="M104" s="15"/>
      <c r="N104" s="16"/>
    </row>
    <row r="105" spans="2:14" ht="15.75" x14ac:dyDescent="0.25">
      <c r="B105" s="4" t="s">
        <v>5</v>
      </c>
      <c r="C105" s="19">
        <v>38</v>
      </c>
      <c r="D105" s="169" t="s">
        <v>8</v>
      </c>
      <c r="E105" s="170"/>
      <c r="F105" s="171"/>
      <c r="G105" s="17">
        <v>0.33</v>
      </c>
      <c r="H105" s="172" t="s">
        <v>9</v>
      </c>
      <c r="I105" s="173"/>
      <c r="J105" s="174"/>
      <c r="K105" s="12">
        <v>0.88</v>
      </c>
      <c r="L105" s="172" t="s">
        <v>6</v>
      </c>
      <c r="M105" s="174"/>
      <c r="N105" s="20">
        <v>2.61</v>
      </c>
    </row>
    <row r="106" spans="2:14" ht="16.5" thickBot="1" x14ac:dyDescent="0.3">
      <c r="B106" s="5"/>
      <c r="C106" s="9"/>
      <c r="D106" s="9"/>
      <c r="E106" s="9"/>
      <c r="F106" s="9"/>
      <c r="G106" s="9"/>
      <c r="H106" s="79"/>
      <c r="I106" s="21"/>
      <c r="J106" s="21"/>
      <c r="K106" s="21"/>
      <c r="L106" s="21"/>
      <c r="M106" s="21"/>
      <c r="N106" s="6"/>
    </row>
    <row r="107" spans="2:14" ht="15.75" x14ac:dyDescent="0.25">
      <c r="B107" s="7" t="s">
        <v>7</v>
      </c>
      <c r="C107" s="1">
        <v>1</v>
      </c>
      <c r="D107" s="1">
        <v>2</v>
      </c>
      <c r="E107" s="1">
        <v>3</v>
      </c>
      <c r="F107" s="1">
        <v>4</v>
      </c>
      <c r="G107" s="1">
        <v>5</v>
      </c>
      <c r="H107" s="77">
        <v>6</v>
      </c>
      <c r="I107" s="160" t="s">
        <v>137</v>
      </c>
      <c r="J107" s="220"/>
      <c r="K107" s="220"/>
      <c r="L107" s="220"/>
      <c r="M107" s="220"/>
      <c r="N107" s="221"/>
    </row>
    <row r="108" spans="2:14" ht="15.75" x14ac:dyDescent="0.25">
      <c r="B108" s="87" t="s">
        <v>10</v>
      </c>
      <c r="C108" s="19">
        <v>49</v>
      </c>
      <c r="D108" s="19">
        <v>48</v>
      </c>
      <c r="E108" s="19">
        <v>51</v>
      </c>
      <c r="F108" s="19">
        <v>48</v>
      </c>
      <c r="G108" s="19">
        <v>55</v>
      </c>
      <c r="H108" s="95">
        <v>53</v>
      </c>
      <c r="I108" s="222"/>
      <c r="J108" s="223"/>
      <c r="K108" s="223"/>
      <c r="L108" s="223"/>
      <c r="M108" s="223"/>
      <c r="N108" s="224"/>
    </row>
    <row r="109" spans="2:14" ht="16.5" thickBot="1" x14ac:dyDescent="0.3">
      <c r="B109" s="94" t="s">
        <v>12</v>
      </c>
      <c r="C109" s="93">
        <v>92</v>
      </c>
      <c r="D109" s="93">
        <v>98</v>
      </c>
      <c r="E109" s="93">
        <v>94</v>
      </c>
      <c r="F109" s="93">
        <v>99</v>
      </c>
      <c r="G109" s="93">
        <v>98</v>
      </c>
      <c r="H109" s="97">
        <v>98</v>
      </c>
      <c r="I109" s="225"/>
      <c r="J109" s="226"/>
      <c r="K109" s="226"/>
      <c r="L109" s="226"/>
      <c r="M109" s="226"/>
      <c r="N109" s="227"/>
    </row>
    <row r="111" spans="2:14" ht="15.75" thickBot="1" x14ac:dyDescent="0.3"/>
    <row r="112" spans="2:14" ht="15.75" x14ac:dyDescent="0.25">
      <c r="B112" s="2" t="s">
        <v>0</v>
      </c>
      <c r="C112" s="175" t="s">
        <v>59</v>
      </c>
      <c r="D112" s="176"/>
      <c r="E112" s="177" t="s">
        <v>1</v>
      </c>
      <c r="F112" s="178"/>
      <c r="G112" s="11">
        <v>120</v>
      </c>
      <c r="H112" s="179" t="s">
        <v>2</v>
      </c>
      <c r="I112" s="180"/>
      <c r="J112" s="181"/>
      <c r="K112" s="13">
        <v>120</v>
      </c>
      <c r="L112" s="3"/>
      <c r="M112" s="80" t="s">
        <v>11</v>
      </c>
      <c r="N112" s="98">
        <v>44653</v>
      </c>
    </row>
    <row r="113" spans="2:14" ht="15.75" x14ac:dyDescent="0.25">
      <c r="B113" s="4" t="s">
        <v>3</v>
      </c>
      <c r="C113" s="10">
        <v>11087</v>
      </c>
      <c r="D113" s="169" t="s">
        <v>57</v>
      </c>
      <c r="E113" s="170"/>
      <c r="F113" s="171"/>
      <c r="G113" s="18">
        <v>7884</v>
      </c>
      <c r="H113" s="172" t="s">
        <v>4</v>
      </c>
      <c r="I113" s="173"/>
      <c r="J113" s="174"/>
      <c r="K113" s="10">
        <v>58</v>
      </c>
      <c r="L113" s="15"/>
      <c r="M113" s="15"/>
      <c r="N113" s="16"/>
    </row>
    <row r="114" spans="2:14" ht="15.75" x14ac:dyDescent="0.25">
      <c r="B114" s="4" t="s">
        <v>5</v>
      </c>
      <c r="C114" s="19">
        <v>67</v>
      </c>
      <c r="D114" s="169" t="s">
        <v>8</v>
      </c>
      <c r="E114" s="170"/>
      <c r="F114" s="171"/>
      <c r="G114" s="17">
        <v>0.33</v>
      </c>
      <c r="H114" s="172" t="s">
        <v>9</v>
      </c>
      <c r="I114" s="173"/>
      <c r="J114" s="174"/>
      <c r="K114" s="12">
        <v>0.88</v>
      </c>
      <c r="L114" s="172" t="s">
        <v>6</v>
      </c>
      <c r="M114" s="174"/>
      <c r="N114" s="20">
        <v>2.61</v>
      </c>
    </row>
    <row r="115" spans="2:14" ht="16.5" thickBot="1" x14ac:dyDescent="0.3">
      <c r="B115" s="5"/>
      <c r="C115" s="9"/>
      <c r="D115" s="9"/>
      <c r="E115" s="9"/>
      <c r="F115" s="9"/>
      <c r="G115" s="9"/>
      <c r="H115" s="79"/>
      <c r="I115" s="21"/>
      <c r="J115" s="21"/>
      <c r="K115" s="21"/>
      <c r="L115" s="21"/>
      <c r="M115" s="21"/>
      <c r="N115" s="6"/>
    </row>
    <row r="116" spans="2:14" ht="15.75" x14ac:dyDescent="0.25">
      <c r="B116" s="7" t="s">
        <v>7</v>
      </c>
      <c r="C116" s="1">
        <v>1</v>
      </c>
      <c r="D116" s="1">
        <v>2</v>
      </c>
      <c r="E116" s="1">
        <v>3</v>
      </c>
      <c r="F116" s="1">
        <v>4</v>
      </c>
      <c r="G116" s="1">
        <v>5</v>
      </c>
      <c r="H116" s="77">
        <v>6</v>
      </c>
      <c r="I116" s="160" t="s">
        <v>138</v>
      </c>
      <c r="J116" s="220"/>
      <c r="K116" s="220"/>
      <c r="L116" s="220"/>
      <c r="M116" s="220"/>
      <c r="N116" s="221"/>
    </row>
    <row r="117" spans="2:14" ht="15.75" x14ac:dyDescent="0.25">
      <c r="B117" s="87" t="s">
        <v>10</v>
      </c>
      <c r="C117" s="19">
        <v>52</v>
      </c>
      <c r="D117" s="19">
        <v>46</v>
      </c>
      <c r="E117" s="19">
        <v>46</v>
      </c>
      <c r="F117" s="19">
        <v>55</v>
      </c>
      <c r="G117" s="19">
        <v>45</v>
      </c>
      <c r="H117" s="95">
        <v>54</v>
      </c>
      <c r="I117" s="222"/>
      <c r="J117" s="223"/>
      <c r="K117" s="223"/>
      <c r="L117" s="223"/>
      <c r="M117" s="223"/>
      <c r="N117" s="224"/>
    </row>
    <row r="118" spans="2:14" ht="16.5" thickBot="1" x14ac:dyDescent="0.3">
      <c r="B118" s="94" t="s">
        <v>12</v>
      </c>
      <c r="C118" s="93">
        <v>88</v>
      </c>
      <c r="D118" s="93">
        <v>98</v>
      </c>
      <c r="E118" s="93">
        <v>85</v>
      </c>
      <c r="F118" s="93">
        <v>98</v>
      </c>
      <c r="G118" s="93">
        <v>99</v>
      </c>
      <c r="H118" s="97">
        <v>97</v>
      </c>
      <c r="I118" s="225"/>
      <c r="J118" s="226"/>
      <c r="K118" s="226"/>
      <c r="L118" s="226"/>
      <c r="M118" s="226"/>
      <c r="N118" s="227"/>
    </row>
    <row r="120" spans="2:14" ht="15.75" thickBot="1" x14ac:dyDescent="0.3"/>
    <row r="121" spans="2:14" ht="15.75" x14ac:dyDescent="0.25">
      <c r="B121" s="2" t="s">
        <v>0</v>
      </c>
      <c r="C121" s="175" t="s">
        <v>59</v>
      </c>
      <c r="D121" s="176"/>
      <c r="E121" s="177" t="s">
        <v>1</v>
      </c>
      <c r="F121" s="178"/>
      <c r="G121" s="11">
        <v>120</v>
      </c>
      <c r="H121" s="179" t="s">
        <v>2</v>
      </c>
      <c r="I121" s="180"/>
      <c r="J121" s="181"/>
      <c r="K121" s="13">
        <v>120</v>
      </c>
      <c r="L121" s="3"/>
      <c r="M121" s="80" t="s">
        <v>11</v>
      </c>
      <c r="N121" s="98">
        <v>44660</v>
      </c>
    </row>
    <row r="122" spans="2:14" ht="15.75" x14ac:dyDescent="0.25">
      <c r="B122" s="4" t="s">
        <v>3</v>
      </c>
      <c r="C122" s="10">
        <v>11257</v>
      </c>
      <c r="D122" s="169" t="s">
        <v>57</v>
      </c>
      <c r="E122" s="170"/>
      <c r="F122" s="171"/>
      <c r="G122" s="18">
        <v>7788</v>
      </c>
      <c r="H122" s="172" t="s">
        <v>4</v>
      </c>
      <c r="I122" s="173"/>
      <c r="J122" s="174"/>
      <c r="K122" s="10">
        <v>58</v>
      </c>
      <c r="L122" s="15"/>
      <c r="M122" s="15"/>
      <c r="N122" s="16"/>
    </row>
    <row r="123" spans="2:14" ht="15.75" x14ac:dyDescent="0.25">
      <c r="B123" s="4" t="s">
        <v>5</v>
      </c>
      <c r="C123" s="19">
        <v>70</v>
      </c>
      <c r="D123" s="169" t="s">
        <v>8</v>
      </c>
      <c r="E123" s="170"/>
      <c r="F123" s="171"/>
      <c r="G123" s="17">
        <v>0.33</v>
      </c>
      <c r="H123" s="172" t="s">
        <v>9</v>
      </c>
      <c r="I123" s="173"/>
      <c r="J123" s="174"/>
      <c r="K123" s="12">
        <v>0.88</v>
      </c>
      <c r="L123" s="172" t="s">
        <v>6</v>
      </c>
      <c r="M123" s="174"/>
      <c r="N123" s="20">
        <v>2.61</v>
      </c>
    </row>
    <row r="124" spans="2:14" ht="16.5" thickBot="1" x14ac:dyDescent="0.3">
      <c r="B124" s="5"/>
      <c r="C124" s="9"/>
      <c r="D124" s="9"/>
      <c r="E124" s="9"/>
      <c r="F124" s="9"/>
      <c r="G124" s="9"/>
      <c r="H124" s="79"/>
      <c r="I124" s="21"/>
      <c r="J124" s="21"/>
      <c r="K124" s="21"/>
      <c r="L124" s="21"/>
      <c r="M124" s="21"/>
      <c r="N124" s="6"/>
    </row>
    <row r="125" spans="2:14" ht="15.75" x14ac:dyDescent="0.25">
      <c r="B125" s="7" t="s">
        <v>7</v>
      </c>
      <c r="C125" s="1">
        <v>1</v>
      </c>
      <c r="D125" s="1">
        <v>2</v>
      </c>
      <c r="E125" s="1">
        <v>3</v>
      </c>
      <c r="F125" s="1">
        <v>4</v>
      </c>
      <c r="G125" s="1">
        <v>5</v>
      </c>
      <c r="H125" s="77">
        <v>6</v>
      </c>
      <c r="I125" s="160" t="s">
        <v>139</v>
      </c>
      <c r="J125" s="220"/>
      <c r="K125" s="220"/>
      <c r="L125" s="220"/>
      <c r="M125" s="220"/>
      <c r="N125" s="221"/>
    </row>
    <row r="126" spans="2:14" ht="15.75" x14ac:dyDescent="0.25">
      <c r="B126" s="87" t="s">
        <v>10</v>
      </c>
      <c r="C126" s="19">
        <v>56</v>
      </c>
      <c r="D126" s="19">
        <v>54</v>
      </c>
      <c r="E126" s="19">
        <v>53</v>
      </c>
      <c r="F126" s="19">
        <v>54</v>
      </c>
      <c r="G126" s="19">
        <v>56</v>
      </c>
      <c r="H126" s="95">
        <v>50</v>
      </c>
      <c r="I126" s="222"/>
      <c r="J126" s="223"/>
      <c r="K126" s="223"/>
      <c r="L126" s="223"/>
      <c r="M126" s="223"/>
      <c r="N126" s="224"/>
    </row>
    <row r="127" spans="2:14" ht="16.5" thickBot="1" x14ac:dyDescent="0.3">
      <c r="B127" s="94" t="s">
        <v>12</v>
      </c>
      <c r="C127" s="93">
        <v>85</v>
      </c>
      <c r="D127" s="93">
        <v>98</v>
      </c>
      <c r="E127" s="93">
        <v>95</v>
      </c>
      <c r="F127" s="93">
        <v>99</v>
      </c>
      <c r="G127" s="93">
        <v>97</v>
      </c>
      <c r="H127" s="97">
        <v>99</v>
      </c>
      <c r="I127" s="225"/>
      <c r="J127" s="226"/>
      <c r="K127" s="226"/>
      <c r="L127" s="226"/>
      <c r="M127" s="226"/>
      <c r="N127" s="227"/>
    </row>
    <row r="129" spans="2:14" ht="15.75" thickBot="1" x14ac:dyDescent="0.3"/>
    <row r="130" spans="2:14" ht="15.75" x14ac:dyDescent="0.25">
      <c r="B130" s="2" t="s">
        <v>0</v>
      </c>
      <c r="C130" s="175" t="s">
        <v>59</v>
      </c>
      <c r="D130" s="176"/>
      <c r="E130" s="177" t="s">
        <v>1</v>
      </c>
      <c r="F130" s="178"/>
      <c r="G130" s="11">
        <v>120</v>
      </c>
      <c r="H130" s="179" t="s">
        <v>2</v>
      </c>
      <c r="I130" s="180"/>
      <c r="J130" s="181"/>
      <c r="K130" s="13">
        <v>120</v>
      </c>
      <c r="L130" s="3"/>
      <c r="M130" s="80" t="s">
        <v>11</v>
      </c>
      <c r="N130" s="98">
        <v>44667</v>
      </c>
    </row>
    <row r="131" spans="2:14" ht="15.75" x14ac:dyDescent="0.25">
      <c r="B131" s="4" t="s">
        <v>3</v>
      </c>
      <c r="C131" s="10">
        <v>11427</v>
      </c>
      <c r="D131" s="169" t="s">
        <v>57</v>
      </c>
      <c r="E131" s="170"/>
      <c r="F131" s="171"/>
      <c r="G131" s="18">
        <v>7592</v>
      </c>
      <c r="H131" s="172" t="s">
        <v>4</v>
      </c>
      <c r="I131" s="173"/>
      <c r="J131" s="174"/>
      <c r="K131" s="10">
        <v>58</v>
      </c>
      <c r="L131" s="15"/>
      <c r="M131" s="15"/>
      <c r="N131" s="16"/>
    </row>
    <row r="132" spans="2:14" ht="15.75" x14ac:dyDescent="0.25">
      <c r="B132" s="4" t="s">
        <v>5</v>
      </c>
      <c r="C132" s="19">
        <v>68</v>
      </c>
      <c r="D132" s="169" t="s">
        <v>8</v>
      </c>
      <c r="E132" s="170"/>
      <c r="F132" s="171"/>
      <c r="G132" s="17">
        <v>0.33</v>
      </c>
      <c r="H132" s="172" t="s">
        <v>9</v>
      </c>
      <c r="I132" s="173"/>
      <c r="J132" s="174"/>
      <c r="K132" s="12">
        <v>0.88</v>
      </c>
      <c r="L132" s="172" t="s">
        <v>6</v>
      </c>
      <c r="M132" s="174"/>
      <c r="N132" s="20">
        <v>2.61</v>
      </c>
    </row>
    <row r="133" spans="2:14" ht="16.5" thickBot="1" x14ac:dyDescent="0.3">
      <c r="B133" s="5"/>
      <c r="C133" s="9"/>
      <c r="D133" s="9"/>
      <c r="E133" s="9"/>
      <c r="F133" s="9"/>
      <c r="G133" s="9"/>
      <c r="H133" s="79"/>
      <c r="I133" s="21"/>
      <c r="J133" s="21"/>
      <c r="K133" s="21"/>
      <c r="L133" s="21"/>
      <c r="M133" s="21"/>
      <c r="N133" s="6"/>
    </row>
    <row r="134" spans="2:14" ht="15.75" x14ac:dyDescent="0.25">
      <c r="B134" s="7" t="s">
        <v>7</v>
      </c>
      <c r="C134" s="1">
        <v>1</v>
      </c>
      <c r="D134" s="1">
        <v>2</v>
      </c>
      <c r="E134" s="1">
        <v>3</v>
      </c>
      <c r="F134" s="1">
        <v>4</v>
      </c>
      <c r="G134" s="1">
        <v>5</v>
      </c>
      <c r="H134" s="77">
        <v>6</v>
      </c>
      <c r="I134" s="160" t="s">
        <v>140</v>
      </c>
      <c r="J134" s="220"/>
      <c r="K134" s="220"/>
      <c r="L134" s="220"/>
      <c r="M134" s="220"/>
      <c r="N134" s="221"/>
    </row>
    <row r="135" spans="2:14" ht="15.75" x14ac:dyDescent="0.25">
      <c r="B135" s="87" t="s">
        <v>10</v>
      </c>
      <c r="C135" s="19">
        <v>55</v>
      </c>
      <c r="D135" s="19">
        <v>52</v>
      </c>
      <c r="E135" s="19">
        <v>51</v>
      </c>
      <c r="F135" s="19">
        <v>55</v>
      </c>
      <c r="G135" s="19">
        <v>54</v>
      </c>
      <c r="H135" s="95">
        <v>53</v>
      </c>
      <c r="I135" s="222"/>
      <c r="J135" s="223"/>
      <c r="K135" s="223"/>
      <c r="L135" s="223"/>
      <c r="M135" s="223"/>
      <c r="N135" s="224"/>
    </row>
    <row r="136" spans="2:14" ht="16.5" thickBot="1" x14ac:dyDescent="0.3">
      <c r="B136" s="94" t="s">
        <v>12</v>
      </c>
      <c r="C136" s="93">
        <v>86</v>
      </c>
      <c r="D136" s="93">
        <v>89</v>
      </c>
      <c r="E136" s="93">
        <v>92</v>
      </c>
      <c r="F136" s="93">
        <v>98</v>
      </c>
      <c r="G136" s="93">
        <v>98</v>
      </c>
      <c r="H136" s="97">
        <v>96</v>
      </c>
      <c r="I136" s="225"/>
      <c r="J136" s="226"/>
      <c r="K136" s="226"/>
      <c r="L136" s="226"/>
      <c r="M136" s="226"/>
      <c r="N136" s="227"/>
    </row>
    <row r="138" spans="2:14" ht="15.75" thickBot="1" x14ac:dyDescent="0.3"/>
    <row r="139" spans="2:14" ht="15.75" x14ac:dyDescent="0.25">
      <c r="B139" s="2" t="s">
        <v>0</v>
      </c>
      <c r="C139" s="175" t="s">
        <v>59</v>
      </c>
      <c r="D139" s="176"/>
      <c r="E139" s="177" t="s">
        <v>1</v>
      </c>
      <c r="F139" s="178"/>
      <c r="G139" s="11">
        <v>120</v>
      </c>
      <c r="H139" s="179" t="s">
        <v>2</v>
      </c>
      <c r="I139" s="180"/>
      <c r="J139" s="181"/>
      <c r="K139" s="13">
        <v>120</v>
      </c>
      <c r="L139" s="3"/>
      <c r="M139" s="80" t="s">
        <v>11</v>
      </c>
      <c r="N139" s="98">
        <v>44674</v>
      </c>
    </row>
    <row r="140" spans="2:14" ht="15.75" x14ac:dyDescent="0.25">
      <c r="B140" s="4" t="s">
        <v>3</v>
      </c>
      <c r="C140" s="10">
        <v>11531</v>
      </c>
      <c r="D140" s="169" t="s">
        <v>57</v>
      </c>
      <c r="E140" s="170"/>
      <c r="F140" s="171"/>
      <c r="G140" s="18">
        <v>7199</v>
      </c>
      <c r="H140" s="172" t="s">
        <v>4</v>
      </c>
      <c r="I140" s="173"/>
      <c r="J140" s="174"/>
      <c r="K140" s="10">
        <v>57</v>
      </c>
      <c r="L140" s="15"/>
      <c r="M140" s="15"/>
      <c r="N140" s="16"/>
    </row>
    <row r="141" spans="2:14" ht="15.75" x14ac:dyDescent="0.25">
      <c r="B141" s="4" t="s">
        <v>5</v>
      </c>
      <c r="C141" s="19">
        <v>63</v>
      </c>
      <c r="D141" s="169" t="s">
        <v>8</v>
      </c>
      <c r="E141" s="170"/>
      <c r="F141" s="171"/>
      <c r="G141" s="17">
        <v>0.33</v>
      </c>
      <c r="H141" s="172" t="s">
        <v>9</v>
      </c>
      <c r="I141" s="173"/>
      <c r="J141" s="174"/>
      <c r="K141" s="12">
        <v>0.88</v>
      </c>
      <c r="L141" s="172" t="s">
        <v>6</v>
      </c>
      <c r="M141" s="174"/>
      <c r="N141" s="20">
        <v>2.61</v>
      </c>
    </row>
    <row r="142" spans="2:14" ht="16.5" thickBot="1" x14ac:dyDescent="0.3">
      <c r="B142" s="5"/>
      <c r="C142" s="9"/>
      <c r="D142" s="9"/>
      <c r="E142" s="9"/>
      <c r="F142" s="9"/>
      <c r="G142" s="9"/>
      <c r="H142" s="79"/>
      <c r="I142" s="21"/>
      <c r="J142" s="21"/>
      <c r="K142" s="21"/>
      <c r="L142" s="21"/>
      <c r="M142" s="21"/>
      <c r="N142" s="6"/>
    </row>
    <row r="143" spans="2:14" ht="15.75" x14ac:dyDescent="0.25">
      <c r="B143" s="7" t="s">
        <v>7</v>
      </c>
      <c r="C143" s="1">
        <v>1</v>
      </c>
      <c r="D143" s="1">
        <v>2</v>
      </c>
      <c r="E143" s="1">
        <v>3</v>
      </c>
      <c r="F143" s="1">
        <v>4</v>
      </c>
      <c r="G143" s="1">
        <v>5</v>
      </c>
      <c r="H143" s="77">
        <v>6</v>
      </c>
      <c r="I143" s="160" t="s">
        <v>141</v>
      </c>
      <c r="J143" s="220"/>
      <c r="K143" s="220"/>
      <c r="L143" s="220"/>
      <c r="M143" s="220"/>
      <c r="N143" s="221"/>
    </row>
    <row r="144" spans="2:14" ht="15.75" x14ac:dyDescent="0.25">
      <c r="B144" s="87" t="s">
        <v>10</v>
      </c>
      <c r="C144" s="19">
        <v>56</v>
      </c>
      <c r="D144" s="19">
        <v>51</v>
      </c>
      <c r="E144" s="19">
        <v>58</v>
      </c>
      <c r="F144" s="19">
        <v>56</v>
      </c>
      <c r="G144" s="19">
        <v>58</v>
      </c>
      <c r="H144" s="95">
        <v>56</v>
      </c>
      <c r="I144" s="222"/>
      <c r="J144" s="223"/>
      <c r="K144" s="223"/>
      <c r="L144" s="223"/>
      <c r="M144" s="223"/>
      <c r="N144" s="224"/>
    </row>
    <row r="145" spans="2:14" ht="16.5" thickBot="1" x14ac:dyDescent="0.3">
      <c r="B145" s="94" t="s">
        <v>12</v>
      </c>
      <c r="C145" s="93">
        <v>88</v>
      </c>
      <c r="D145" s="93">
        <v>98</v>
      </c>
      <c r="E145" s="93">
        <v>96</v>
      </c>
      <c r="F145" s="93">
        <v>92</v>
      </c>
      <c r="G145" s="93">
        <v>98</v>
      </c>
      <c r="H145" s="97">
        <v>96</v>
      </c>
      <c r="I145" s="225"/>
      <c r="J145" s="226"/>
      <c r="K145" s="226"/>
      <c r="L145" s="226"/>
      <c r="M145" s="226"/>
      <c r="N145" s="227"/>
    </row>
    <row r="147" spans="2:14" ht="15.75" thickBot="1" x14ac:dyDescent="0.3"/>
    <row r="148" spans="2:14" ht="15.75" x14ac:dyDescent="0.25">
      <c r="B148" s="2" t="s">
        <v>0</v>
      </c>
      <c r="C148" s="175" t="s">
        <v>59</v>
      </c>
      <c r="D148" s="176"/>
      <c r="E148" s="177" t="s">
        <v>1</v>
      </c>
      <c r="F148" s="178"/>
      <c r="G148" s="11">
        <v>120</v>
      </c>
      <c r="H148" s="179" t="s">
        <v>2</v>
      </c>
      <c r="I148" s="180"/>
      <c r="J148" s="181"/>
      <c r="K148" s="13">
        <v>120</v>
      </c>
      <c r="L148" s="3"/>
      <c r="M148" s="80" t="s">
        <v>11</v>
      </c>
      <c r="N148" s="98">
        <v>44687</v>
      </c>
    </row>
    <row r="149" spans="2:14" ht="15.75" x14ac:dyDescent="0.25">
      <c r="B149" s="4" t="s">
        <v>3</v>
      </c>
      <c r="C149" s="10">
        <v>11668</v>
      </c>
      <c r="D149" s="169" t="s">
        <v>57</v>
      </c>
      <c r="E149" s="170"/>
      <c r="F149" s="171"/>
      <c r="G149" s="18">
        <v>10071</v>
      </c>
      <c r="H149" s="172" t="s">
        <v>4</v>
      </c>
      <c r="I149" s="173"/>
      <c r="J149" s="174"/>
      <c r="K149" s="10">
        <v>67</v>
      </c>
      <c r="L149" s="15"/>
      <c r="M149" s="15"/>
      <c r="N149" s="16"/>
    </row>
    <row r="150" spans="2:14" ht="15.75" x14ac:dyDescent="0.25">
      <c r="B150" s="4" t="s">
        <v>5</v>
      </c>
      <c r="C150" s="19">
        <v>79</v>
      </c>
      <c r="D150" s="169" t="s">
        <v>8</v>
      </c>
      <c r="E150" s="170"/>
      <c r="F150" s="171"/>
      <c r="G150" s="17">
        <v>0.33</v>
      </c>
      <c r="H150" s="172" t="s">
        <v>9</v>
      </c>
      <c r="I150" s="173"/>
      <c r="J150" s="174"/>
      <c r="K150" s="12">
        <v>0.88</v>
      </c>
      <c r="L150" s="172" t="s">
        <v>6</v>
      </c>
      <c r="M150" s="174"/>
      <c r="N150" s="20">
        <v>2.61</v>
      </c>
    </row>
    <row r="151" spans="2:14" ht="16.5" thickBot="1" x14ac:dyDescent="0.3">
      <c r="B151" s="5"/>
      <c r="C151" s="9"/>
      <c r="D151" s="9"/>
      <c r="E151" s="9"/>
      <c r="F151" s="9"/>
      <c r="G151" s="9"/>
      <c r="H151" s="79"/>
      <c r="I151" s="21"/>
      <c r="J151" s="21"/>
      <c r="K151" s="21"/>
      <c r="L151" s="21"/>
      <c r="M151" s="21"/>
      <c r="N151" s="6"/>
    </row>
    <row r="152" spans="2:14" ht="15.75" x14ac:dyDescent="0.25">
      <c r="B152" s="7" t="s">
        <v>7</v>
      </c>
      <c r="C152" s="1">
        <v>1</v>
      </c>
      <c r="D152" s="1">
        <v>2</v>
      </c>
      <c r="E152" s="1">
        <v>3</v>
      </c>
      <c r="F152" s="1">
        <v>4</v>
      </c>
      <c r="G152" s="1">
        <v>5</v>
      </c>
      <c r="H152" s="77">
        <v>6</v>
      </c>
      <c r="I152" s="160" t="s">
        <v>142</v>
      </c>
      <c r="J152" s="220"/>
      <c r="K152" s="220"/>
      <c r="L152" s="220"/>
      <c r="M152" s="220"/>
      <c r="N152" s="221"/>
    </row>
    <row r="153" spans="2:14" ht="15.75" x14ac:dyDescent="0.25">
      <c r="B153" s="87" t="s">
        <v>10</v>
      </c>
      <c r="C153" s="19">
        <v>53</v>
      </c>
      <c r="D153" s="19">
        <v>58</v>
      </c>
      <c r="E153" s="19">
        <v>57</v>
      </c>
      <c r="F153" s="19">
        <v>59</v>
      </c>
      <c r="G153" s="19">
        <v>53</v>
      </c>
      <c r="H153" s="95">
        <v>52</v>
      </c>
      <c r="I153" s="222"/>
      <c r="J153" s="223"/>
      <c r="K153" s="223"/>
      <c r="L153" s="223"/>
      <c r="M153" s="223"/>
      <c r="N153" s="224"/>
    </row>
    <row r="154" spans="2:14" ht="16.5" thickBot="1" x14ac:dyDescent="0.3">
      <c r="B154" s="94" t="s">
        <v>12</v>
      </c>
      <c r="C154" s="93">
        <v>98</v>
      </c>
      <c r="D154" s="93">
        <v>86</v>
      </c>
      <c r="E154" s="93">
        <v>99</v>
      </c>
      <c r="F154" s="93">
        <v>96</v>
      </c>
      <c r="G154" s="93">
        <v>94</v>
      </c>
      <c r="H154" s="97">
        <v>94</v>
      </c>
      <c r="I154" s="225"/>
      <c r="J154" s="226"/>
      <c r="K154" s="226"/>
      <c r="L154" s="226"/>
      <c r="M154" s="226"/>
      <c r="N154" s="227"/>
    </row>
    <row r="156" spans="2:14" ht="15.75" thickBot="1" x14ac:dyDescent="0.3"/>
    <row r="157" spans="2:14" ht="15.75" x14ac:dyDescent="0.25">
      <c r="B157" s="2" t="s">
        <v>0</v>
      </c>
      <c r="C157" s="175" t="s">
        <v>59</v>
      </c>
      <c r="D157" s="176"/>
      <c r="E157" s="177" t="s">
        <v>1</v>
      </c>
      <c r="F157" s="178"/>
      <c r="G157" s="11">
        <v>120</v>
      </c>
      <c r="H157" s="179" t="s">
        <v>2</v>
      </c>
      <c r="I157" s="180"/>
      <c r="J157" s="181"/>
      <c r="K157" s="13">
        <v>120</v>
      </c>
      <c r="L157" s="3"/>
      <c r="M157" s="80" t="s">
        <v>11</v>
      </c>
      <c r="N157" s="98">
        <v>44694</v>
      </c>
    </row>
    <row r="158" spans="2:14" ht="15.75" x14ac:dyDescent="0.25">
      <c r="B158" s="4" t="s">
        <v>3</v>
      </c>
      <c r="C158" s="10">
        <v>11803</v>
      </c>
      <c r="D158" s="169" t="s">
        <v>57</v>
      </c>
      <c r="E158" s="170"/>
      <c r="F158" s="171"/>
      <c r="G158" s="18">
        <v>7836</v>
      </c>
      <c r="H158" s="172" t="s">
        <v>4</v>
      </c>
      <c r="I158" s="173"/>
      <c r="J158" s="174"/>
      <c r="K158" s="10">
        <v>58</v>
      </c>
      <c r="L158" s="15"/>
      <c r="M158" s="15"/>
      <c r="N158" s="16"/>
    </row>
    <row r="159" spans="2:14" ht="15.75" x14ac:dyDescent="0.25">
      <c r="B159" s="4" t="s">
        <v>5</v>
      </c>
      <c r="C159" s="19">
        <v>68</v>
      </c>
      <c r="D159" s="169" t="s">
        <v>8</v>
      </c>
      <c r="E159" s="170"/>
      <c r="F159" s="171"/>
      <c r="G159" s="17">
        <v>0.33</v>
      </c>
      <c r="H159" s="172" t="s">
        <v>9</v>
      </c>
      <c r="I159" s="173"/>
      <c r="J159" s="174"/>
      <c r="K159" s="12">
        <v>0.88</v>
      </c>
      <c r="L159" s="172" t="s">
        <v>6</v>
      </c>
      <c r="M159" s="174"/>
      <c r="N159" s="20">
        <v>2.21</v>
      </c>
    </row>
    <row r="160" spans="2:14" ht="16.5" thickBot="1" x14ac:dyDescent="0.3">
      <c r="B160" s="5"/>
      <c r="C160" s="9"/>
      <c r="D160" s="9"/>
      <c r="E160" s="9"/>
      <c r="F160" s="9"/>
      <c r="G160" s="9"/>
      <c r="H160" s="79"/>
      <c r="I160" s="21"/>
      <c r="J160" s="21"/>
      <c r="K160" s="21"/>
      <c r="L160" s="21"/>
      <c r="M160" s="21"/>
      <c r="N160" s="6"/>
    </row>
    <row r="161" spans="2:14" ht="15.75" x14ac:dyDescent="0.25">
      <c r="B161" s="7" t="s">
        <v>7</v>
      </c>
      <c r="C161" s="1">
        <v>1</v>
      </c>
      <c r="D161" s="1">
        <v>2</v>
      </c>
      <c r="E161" s="1">
        <v>3</v>
      </c>
      <c r="F161" s="1">
        <v>4</v>
      </c>
      <c r="G161" s="1">
        <v>5</v>
      </c>
      <c r="H161" s="77">
        <v>6</v>
      </c>
      <c r="I161" s="160" t="s">
        <v>143</v>
      </c>
      <c r="J161" s="220"/>
      <c r="K161" s="220"/>
      <c r="L161" s="220"/>
      <c r="M161" s="220"/>
      <c r="N161" s="221"/>
    </row>
    <row r="162" spans="2:14" ht="15.75" x14ac:dyDescent="0.25">
      <c r="B162" s="87" t="s">
        <v>10</v>
      </c>
      <c r="C162" s="19">
        <v>51</v>
      </c>
      <c r="D162" s="19">
        <v>55</v>
      </c>
      <c r="E162" s="19">
        <v>55</v>
      </c>
      <c r="F162" s="19">
        <v>54</v>
      </c>
      <c r="G162" s="19">
        <v>51</v>
      </c>
      <c r="H162" s="95">
        <v>52</v>
      </c>
      <c r="I162" s="222"/>
      <c r="J162" s="223"/>
      <c r="K162" s="223"/>
      <c r="L162" s="223"/>
      <c r="M162" s="223"/>
      <c r="N162" s="224"/>
    </row>
    <row r="163" spans="2:14" ht="16.5" thickBot="1" x14ac:dyDescent="0.3">
      <c r="B163" s="94" t="s">
        <v>12</v>
      </c>
      <c r="C163" s="93">
        <v>98</v>
      </c>
      <c r="D163" s="93">
        <v>93</v>
      </c>
      <c r="E163" s="93">
        <v>97</v>
      </c>
      <c r="F163" s="93">
        <v>94</v>
      </c>
      <c r="G163" s="93">
        <v>88</v>
      </c>
      <c r="H163" s="97">
        <v>96</v>
      </c>
      <c r="I163" s="225"/>
      <c r="J163" s="226"/>
      <c r="K163" s="226"/>
      <c r="L163" s="226"/>
      <c r="M163" s="226"/>
      <c r="N163" s="227"/>
    </row>
    <row r="165" spans="2:14" ht="15.75" thickBot="1" x14ac:dyDescent="0.3"/>
    <row r="166" spans="2:14" ht="15.75" x14ac:dyDescent="0.25">
      <c r="B166" s="2" t="s">
        <v>0</v>
      </c>
      <c r="C166" s="175" t="s">
        <v>59</v>
      </c>
      <c r="D166" s="176"/>
      <c r="E166" s="177" t="s">
        <v>1</v>
      </c>
      <c r="F166" s="178"/>
      <c r="G166" s="11">
        <v>120</v>
      </c>
      <c r="H166" s="179" t="s">
        <v>2</v>
      </c>
      <c r="I166" s="180"/>
      <c r="J166" s="181"/>
      <c r="K166" s="13">
        <v>120</v>
      </c>
      <c r="L166" s="3"/>
      <c r="M166" s="80" t="s">
        <v>11</v>
      </c>
      <c r="N166" s="98">
        <v>44702</v>
      </c>
    </row>
    <row r="167" spans="2:14" ht="15.75" x14ac:dyDescent="0.25">
      <c r="B167" s="4" t="s">
        <v>3</v>
      </c>
      <c r="C167" s="10">
        <v>11968</v>
      </c>
      <c r="D167" s="169" t="s">
        <v>57</v>
      </c>
      <c r="E167" s="170"/>
      <c r="F167" s="171"/>
      <c r="G167" s="18">
        <v>7595</v>
      </c>
      <c r="H167" s="172" t="s">
        <v>4</v>
      </c>
      <c r="I167" s="173"/>
      <c r="J167" s="174"/>
      <c r="K167" s="10">
        <v>54</v>
      </c>
      <c r="L167" s="15"/>
      <c r="M167" s="15"/>
      <c r="N167" s="16"/>
    </row>
    <row r="168" spans="2:14" ht="15.75" x14ac:dyDescent="0.25">
      <c r="B168" s="4" t="s">
        <v>5</v>
      </c>
      <c r="C168" s="19">
        <v>57</v>
      </c>
      <c r="D168" s="169" t="s">
        <v>8</v>
      </c>
      <c r="E168" s="170"/>
      <c r="F168" s="171"/>
      <c r="G168" s="17">
        <v>0.33</v>
      </c>
      <c r="H168" s="172" t="s">
        <v>9</v>
      </c>
      <c r="I168" s="173"/>
      <c r="J168" s="174"/>
      <c r="K168" s="12">
        <v>0.88</v>
      </c>
      <c r="L168" s="172" t="s">
        <v>6</v>
      </c>
      <c r="M168" s="174"/>
      <c r="N168" s="20">
        <v>2.21</v>
      </c>
    </row>
    <row r="169" spans="2:14" ht="16.5" thickBot="1" x14ac:dyDescent="0.3">
      <c r="B169" s="5"/>
      <c r="C169" s="9"/>
      <c r="D169" s="9"/>
      <c r="E169" s="9"/>
      <c r="F169" s="9"/>
      <c r="G169" s="9"/>
      <c r="H169" s="79"/>
      <c r="I169" s="21"/>
      <c r="J169" s="21"/>
      <c r="K169" s="21"/>
      <c r="L169" s="21"/>
      <c r="M169" s="21"/>
      <c r="N169" s="6"/>
    </row>
    <row r="170" spans="2:14" ht="15.75" x14ac:dyDescent="0.25">
      <c r="B170" s="7" t="s">
        <v>7</v>
      </c>
      <c r="C170" s="1">
        <v>1</v>
      </c>
      <c r="D170" s="1">
        <v>2</v>
      </c>
      <c r="E170" s="1">
        <v>3</v>
      </c>
      <c r="F170" s="1">
        <v>4</v>
      </c>
      <c r="G170" s="1">
        <v>5</v>
      </c>
      <c r="H170" s="77">
        <v>6</v>
      </c>
      <c r="I170" s="160" t="s">
        <v>144</v>
      </c>
      <c r="J170" s="220"/>
      <c r="K170" s="220"/>
      <c r="L170" s="220"/>
      <c r="M170" s="220"/>
      <c r="N170" s="221"/>
    </row>
    <row r="171" spans="2:14" ht="15.75" x14ac:dyDescent="0.25">
      <c r="B171" s="87" t="s">
        <v>10</v>
      </c>
      <c r="C171" s="19">
        <v>57</v>
      </c>
      <c r="D171" s="19">
        <v>51</v>
      </c>
      <c r="E171" s="19">
        <v>51</v>
      </c>
      <c r="F171" s="19">
        <v>52</v>
      </c>
      <c r="G171" s="19">
        <v>51</v>
      </c>
      <c r="H171" s="95">
        <v>52</v>
      </c>
      <c r="I171" s="222"/>
      <c r="J171" s="223"/>
      <c r="K171" s="223"/>
      <c r="L171" s="223"/>
      <c r="M171" s="223"/>
      <c r="N171" s="224"/>
    </row>
    <row r="172" spans="2:14" ht="16.5" thickBot="1" x14ac:dyDescent="0.3">
      <c r="B172" s="94" t="s">
        <v>12</v>
      </c>
      <c r="C172" s="93">
        <v>95</v>
      </c>
      <c r="D172" s="93">
        <v>91</v>
      </c>
      <c r="E172" s="93">
        <v>90</v>
      </c>
      <c r="F172" s="93">
        <v>94</v>
      </c>
      <c r="G172" s="93">
        <v>99</v>
      </c>
      <c r="H172" s="97">
        <v>98</v>
      </c>
      <c r="I172" s="225"/>
      <c r="J172" s="226"/>
      <c r="K172" s="226"/>
      <c r="L172" s="226"/>
      <c r="M172" s="226"/>
      <c r="N172" s="227"/>
    </row>
    <row r="174" spans="2:14" ht="15.75" thickBot="1" x14ac:dyDescent="0.3"/>
    <row r="175" spans="2:14" ht="15.75" x14ac:dyDescent="0.25">
      <c r="B175" s="2" t="s">
        <v>0</v>
      </c>
      <c r="C175" s="175" t="s">
        <v>59</v>
      </c>
      <c r="D175" s="176"/>
      <c r="E175" s="177" t="s">
        <v>1</v>
      </c>
      <c r="F175" s="178"/>
      <c r="G175" s="11">
        <v>120</v>
      </c>
      <c r="H175" s="179" t="s">
        <v>2</v>
      </c>
      <c r="I175" s="180"/>
      <c r="J175" s="181"/>
      <c r="K175" s="13">
        <v>120</v>
      </c>
      <c r="L175" s="3"/>
      <c r="M175" s="80" t="s">
        <v>11</v>
      </c>
      <c r="N175" s="98">
        <v>44709</v>
      </c>
    </row>
    <row r="176" spans="2:14" ht="15.75" x14ac:dyDescent="0.25">
      <c r="B176" s="4" t="s">
        <v>3</v>
      </c>
      <c r="C176" s="10">
        <v>12133</v>
      </c>
      <c r="D176" s="169" t="s">
        <v>57</v>
      </c>
      <c r="E176" s="170"/>
      <c r="F176" s="171"/>
      <c r="G176" s="18">
        <v>7474</v>
      </c>
      <c r="H176" s="172" t="s">
        <v>4</v>
      </c>
      <c r="I176" s="173"/>
      <c r="J176" s="174"/>
      <c r="K176" s="10">
        <v>52</v>
      </c>
      <c r="L176" s="15"/>
      <c r="M176" s="15"/>
      <c r="N176" s="16"/>
    </row>
    <row r="177" spans="2:14" ht="15.75" x14ac:dyDescent="0.25">
      <c r="B177" s="4" t="s">
        <v>5</v>
      </c>
      <c r="C177" s="19">
        <v>56</v>
      </c>
      <c r="D177" s="169" t="s">
        <v>8</v>
      </c>
      <c r="E177" s="170"/>
      <c r="F177" s="171"/>
      <c r="G177" s="17">
        <v>0.33</v>
      </c>
      <c r="H177" s="172" t="s">
        <v>9</v>
      </c>
      <c r="I177" s="173"/>
      <c r="J177" s="174"/>
      <c r="K177" s="12">
        <v>0.88</v>
      </c>
      <c r="L177" s="172" t="s">
        <v>6</v>
      </c>
      <c r="M177" s="174"/>
      <c r="N177" s="20">
        <v>2.21</v>
      </c>
    </row>
    <row r="178" spans="2:14" ht="16.5" thickBot="1" x14ac:dyDescent="0.3">
      <c r="B178" s="5"/>
      <c r="C178" s="9"/>
      <c r="D178" s="9"/>
      <c r="E178" s="9"/>
      <c r="F178" s="9"/>
      <c r="G178" s="9"/>
      <c r="H178" s="79"/>
      <c r="I178" s="21"/>
      <c r="J178" s="21"/>
      <c r="K178" s="21"/>
      <c r="L178" s="21"/>
      <c r="M178" s="21"/>
      <c r="N178" s="6"/>
    </row>
    <row r="179" spans="2:14" ht="15.75" x14ac:dyDescent="0.25">
      <c r="B179" s="7" t="s">
        <v>7</v>
      </c>
      <c r="C179" s="1">
        <v>1</v>
      </c>
      <c r="D179" s="1">
        <v>2</v>
      </c>
      <c r="E179" s="1">
        <v>3</v>
      </c>
      <c r="F179" s="1">
        <v>4</v>
      </c>
      <c r="G179" s="1">
        <v>5</v>
      </c>
      <c r="H179" s="77">
        <v>6</v>
      </c>
      <c r="I179" s="160" t="s">
        <v>145</v>
      </c>
      <c r="J179" s="220"/>
      <c r="K179" s="220"/>
      <c r="L179" s="220"/>
      <c r="M179" s="220"/>
      <c r="N179" s="221"/>
    </row>
    <row r="180" spans="2:14" ht="15.75" x14ac:dyDescent="0.25">
      <c r="B180" s="87" t="s">
        <v>10</v>
      </c>
      <c r="C180" s="19">
        <v>56</v>
      </c>
      <c r="D180" s="19">
        <v>54</v>
      </c>
      <c r="E180" s="19">
        <v>52</v>
      </c>
      <c r="F180" s="19">
        <v>54</v>
      </c>
      <c r="G180" s="19">
        <v>55</v>
      </c>
      <c r="H180" s="95">
        <v>53</v>
      </c>
      <c r="I180" s="222"/>
      <c r="J180" s="223"/>
      <c r="K180" s="223"/>
      <c r="L180" s="223"/>
      <c r="M180" s="223"/>
      <c r="N180" s="224"/>
    </row>
    <row r="181" spans="2:14" ht="16.5" thickBot="1" x14ac:dyDescent="0.3">
      <c r="B181" s="94" t="s">
        <v>12</v>
      </c>
      <c r="C181" s="93">
        <v>97</v>
      </c>
      <c r="D181" s="93">
        <v>93</v>
      </c>
      <c r="E181" s="93">
        <v>94</v>
      </c>
      <c r="F181" s="93">
        <v>96</v>
      </c>
      <c r="G181" s="93">
        <v>96</v>
      </c>
      <c r="H181" s="97">
        <v>94</v>
      </c>
      <c r="I181" s="225"/>
      <c r="J181" s="226"/>
      <c r="K181" s="226"/>
      <c r="L181" s="226"/>
      <c r="M181" s="226"/>
      <c r="N181" s="227"/>
    </row>
    <row r="183" spans="2:14" ht="15.75" thickBot="1" x14ac:dyDescent="0.3"/>
    <row r="184" spans="2:14" ht="15.75" x14ac:dyDescent="0.25">
      <c r="B184" s="2" t="s">
        <v>0</v>
      </c>
      <c r="C184" s="175" t="s">
        <v>59</v>
      </c>
      <c r="D184" s="176"/>
      <c r="E184" s="177" t="s">
        <v>1</v>
      </c>
      <c r="F184" s="178"/>
      <c r="G184" s="11">
        <v>120</v>
      </c>
      <c r="H184" s="179" t="s">
        <v>2</v>
      </c>
      <c r="I184" s="180"/>
      <c r="J184" s="181"/>
      <c r="K184" s="13">
        <v>120</v>
      </c>
      <c r="L184" s="3"/>
      <c r="M184" s="80" t="s">
        <v>11</v>
      </c>
      <c r="N184" s="98">
        <v>44716</v>
      </c>
    </row>
    <row r="185" spans="2:14" ht="15.75" x14ac:dyDescent="0.25">
      <c r="B185" s="4" t="s">
        <v>3</v>
      </c>
      <c r="C185" s="10">
        <v>12208</v>
      </c>
      <c r="D185" s="169" t="s">
        <v>57</v>
      </c>
      <c r="E185" s="170"/>
      <c r="F185" s="171"/>
      <c r="G185" s="18">
        <v>6138</v>
      </c>
      <c r="H185" s="172" t="s">
        <v>4</v>
      </c>
      <c r="I185" s="173"/>
      <c r="J185" s="174"/>
      <c r="K185" s="10">
        <v>55</v>
      </c>
      <c r="L185" s="15"/>
      <c r="M185" s="15"/>
      <c r="N185" s="16"/>
    </row>
    <row r="186" spans="2:14" ht="15.75" x14ac:dyDescent="0.25">
      <c r="B186" s="4" t="s">
        <v>5</v>
      </c>
      <c r="C186" s="19">
        <v>59</v>
      </c>
      <c r="D186" s="169" t="s">
        <v>8</v>
      </c>
      <c r="E186" s="170"/>
      <c r="F186" s="171"/>
      <c r="G186" s="17">
        <v>0.33</v>
      </c>
      <c r="H186" s="172" t="s">
        <v>9</v>
      </c>
      <c r="I186" s="173"/>
      <c r="J186" s="174"/>
      <c r="K186" s="12">
        <v>0.88</v>
      </c>
      <c r="L186" s="172" t="s">
        <v>6</v>
      </c>
      <c r="M186" s="174"/>
      <c r="N186" s="20">
        <v>2.21</v>
      </c>
    </row>
    <row r="187" spans="2:14" ht="16.5" thickBot="1" x14ac:dyDescent="0.3">
      <c r="B187" s="5"/>
      <c r="C187" s="9"/>
      <c r="D187" s="9"/>
      <c r="E187" s="9"/>
      <c r="F187" s="9"/>
      <c r="G187" s="9"/>
      <c r="H187" s="79"/>
      <c r="I187" s="21"/>
      <c r="J187" s="21"/>
      <c r="K187" s="21"/>
      <c r="L187" s="21"/>
      <c r="M187" s="21"/>
      <c r="N187" s="6"/>
    </row>
    <row r="188" spans="2:14" ht="15.75" x14ac:dyDescent="0.25">
      <c r="B188" s="7" t="s">
        <v>7</v>
      </c>
      <c r="C188" s="1">
        <v>1</v>
      </c>
      <c r="D188" s="1">
        <v>2</v>
      </c>
      <c r="E188" s="1">
        <v>3</v>
      </c>
      <c r="F188" s="1">
        <v>4</v>
      </c>
      <c r="G188" s="1">
        <v>5</v>
      </c>
      <c r="H188" s="77">
        <v>6</v>
      </c>
      <c r="I188" s="160" t="s">
        <v>151</v>
      </c>
      <c r="J188" s="220"/>
      <c r="K188" s="220"/>
      <c r="L188" s="220"/>
      <c r="M188" s="220"/>
      <c r="N188" s="221"/>
    </row>
    <row r="189" spans="2:14" ht="15.75" x14ac:dyDescent="0.25">
      <c r="B189" s="87" t="s">
        <v>10</v>
      </c>
      <c r="C189" s="19">
        <v>57</v>
      </c>
      <c r="D189" s="19">
        <v>55</v>
      </c>
      <c r="E189" s="19">
        <v>51</v>
      </c>
      <c r="F189" s="19">
        <v>51</v>
      </c>
      <c r="G189" s="19">
        <v>53</v>
      </c>
      <c r="H189" s="95">
        <v>54</v>
      </c>
      <c r="I189" s="222"/>
      <c r="J189" s="223"/>
      <c r="K189" s="223"/>
      <c r="L189" s="223"/>
      <c r="M189" s="223"/>
      <c r="N189" s="224"/>
    </row>
    <row r="190" spans="2:14" ht="16.5" thickBot="1" x14ac:dyDescent="0.3">
      <c r="B190" s="94" t="s">
        <v>12</v>
      </c>
      <c r="C190" s="93">
        <v>92</v>
      </c>
      <c r="D190" s="93">
        <v>93</v>
      </c>
      <c r="E190" s="93">
        <v>94</v>
      </c>
      <c r="F190" s="93">
        <v>96</v>
      </c>
      <c r="G190" s="93">
        <v>92</v>
      </c>
      <c r="H190" s="97">
        <v>94</v>
      </c>
      <c r="I190" s="225"/>
      <c r="J190" s="226"/>
      <c r="K190" s="226"/>
      <c r="L190" s="226"/>
      <c r="M190" s="226"/>
      <c r="N190" s="227"/>
    </row>
    <row r="192" spans="2:14" ht="15.75" thickBot="1" x14ac:dyDescent="0.3"/>
    <row r="193" spans="2:14" ht="15.75" x14ac:dyDescent="0.25">
      <c r="B193" s="2" t="s">
        <v>0</v>
      </c>
      <c r="C193" s="175" t="s">
        <v>59</v>
      </c>
      <c r="D193" s="176"/>
      <c r="E193" s="177" t="s">
        <v>1</v>
      </c>
      <c r="F193" s="178"/>
      <c r="G193" s="11">
        <v>120</v>
      </c>
      <c r="H193" s="179" t="s">
        <v>2</v>
      </c>
      <c r="I193" s="180"/>
      <c r="J193" s="181"/>
      <c r="K193" s="13">
        <v>120</v>
      </c>
      <c r="L193" s="3"/>
      <c r="M193" s="80" t="s">
        <v>11</v>
      </c>
      <c r="N193" s="98">
        <v>44723</v>
      </c>
    </row>
    <row r="194" spans="2:14" ht="15.75" x14ac:dyDescent="0.25">
      <c r="B194" s="4" t="s">
        <v>3</v>
      </c>
      <c r="C194" s="10">
        <v>12354</v>
      </c>
      <c r="D194" s="169" t="s">
        <v>57</v>
      </c>
      <c r="E194" s="170"/>
      <c r="F194" s="171"/>
      <c r="G194" s="18">
        <v>6683</v>
      </c>
      <c r="H194" s="172" t="s">
        <v>4</v>
      </c>
      <c r="I194" s="173"/>
      <c r="J194" s="174"/>
      <c r="K194" s="10">
        <v>57</v>
      </c>
      <c r="L194" s="15"/>
      <c r="M194" s="15"/>
      <c r="N194" s="16"/>
    </row>
    <row r="195" spans="2:14" ht="15.75" x14ac:dyDescent="0.25">
      <c r="B195" s="4" t="s">
        <v>5</v>
      </c>
      <c r="C195" s="19">
        <v>60</v>
      </c>
      <c r="D195" s="169" t="s">
        <v>8</v>
      </c>
      <c r="E195" s="170"/>
      <c r="F195" s="171"/>
      <c r="G195" s="17">
        <v>0.33</v>
      </c>
      <c r="H195" s="172" t="s">
        <v>9</v>
      </c>
      <c r="I195" s="173"/>
      <c r="J195" s="174"/>
      <c r="K195" s="12">
        <v>0.88</v>
      </c>
      <c r="L195" s="172" t="s">
        <v>6</v>
      </c>
      <c r="M195" s="174"/>
      <c r="N195" s="20">
        <v>2.21</v>
      </c>
    </row>
    <row r="196" spans="2:14" ht="16.5" thickBot="1" x14ac:dyDescent="0.3">
      <c r="B196" s="5"/>
      <c r="C196" s="9"/>
      <c r="D196" s="9"/>
      <c r="E196" s="9"/>
      <c r="F196" s="9"/>
      <c r="G196" s="9"/>
      <c r="H196" s="79"/>
      <c r="I196" s="21"/>
      <c r="J196" s="21"/>
      <c r="K196" s="21"/>
      <c r="L196" s="21"/>
      <c r="M196" s="21"/>
      <c r="N196" s="6"/>
    </row>
    <row r="197" spans="2:14" ht="15.75" x14ac:dyDescent="0.25">
      <c r="B197" s="7" t="s">
        <v>7</v>
      </c>
      <c r="C197" s="1">
        <v>1</v>
      </c>
      <c r="D197" s="1">
        <v>2</v>
      </c>
      <c r="E197" s="1">
        <v>3</v>
      </c>
      <c r="F197" s="1">
        <v>4</v>
      </c>
      <c r="G197" s="1">
        <v>5</v>
      </c>
      <c r="H197" s="77">
        <v>6</v>
      </c>
      <c r="I197" s="160" t="s">
        <v>150</v>
      </c>
      <c r="J197" s="220"/>
      <c r="K197" s="220"/>
      <c r="L197" s="220"/>
      <c r="M197" s="220"/>
      <c r="N197" s="221"/>
    </row>
    <row r="198" spans="2:14" ht="15.75" x14ac:dyDescent="0.25">
      <c r="B198" s="87" t="s">
        <v>10</v>
      </c>
      <c r="C198" s="19">
        <v>52</v>
      </c>
      <c r="D198" s="19">
        <v>55</v>
      </c>
      <c r="E198" s="19">
        <v>49</v>
      </c>
      <c r="F198" s="19">
        <v>50</v>
      </c>
      <c r="G198" s="19">
        <v>52</v>
      </c>
      <c r="H198" s="95">
        <v>50</v>
      </c>
      <c r="I198" s="222"/>
      <c r="J198" s="223"/>
      <c r="K198" s="223"/>
      <c r="L198" s="223"/>
      <c r="M198" s="223"/>
      <c r="N198" s="224"/>
    </row>
    <row r="199" spans="2:14" ht="16.5" thickBot="1" x14ac:dyDescent="0.3">
      <c r="B199" s="94" t="s">
        <v>12</v>
      </c>
      <c r="C199" s="93">
        <v>92</v>
      </c>
      <c r="D199" s="93">
        <v>96</v>
      </c>
      <c r="E199" s="93">
        <v>89</v>
      </c>
      <c r="F199" s="93">
        <v>90</v>
      </c>
      <c r="G199" s="93">
        <v>89</v>
      </c>
      <c r="H199" s="97">
        <v>86</v>
      </c>
      <c r="I199" s="225"/>
      <c r="J199" s="226"/>
      <c r="K199" s="226"/>
      <c r="L199" s="226"/>
      <c r="M199" s="226"/>
      <c r="N199" s="227"/>
    </row>
    <row r="201" spans="2:14" ht="15.75" thickBot="1" x14ac:dyDescent="0.3"/>
    <row r="202" spans="2:14" ht="15.75" x14ac:dyDescent="0.25">
      <c r="B202" s="2" t="s">
        <v>0</v>
      </c>
      <c r="C202" s="175" t="s">
        <v>59</v>
      </c>
      <c r="D202" s="176"/>
      <c r="E202" s="177" t="s">
        <v>1</v>
      </c>
      <c r="F202" s="178"/>
      <c r="G202" s="11">
        <v>120</v>
      </c>
      <c r="H202" s="179" t="s">
        <v>2</v>
      </c>
      <c r="I202" s="180"/>
      <c r="J202" s="181"/>
      <c r="K202" s="13">
        <v>120</v>
      </c>
      <c r="L202" s="3"/>
      <c r="M202" s="80" t="s">
        <v>11</v>
      </c>
      <c r="N202" s="98">
        <v>44730</v>
      </c>
    </row>
    <row r="203" spans="2:14" ht="15.75" x14ac:dyDescent="0.25">
      <c r="B203" s="4" t="s">
        <v>3</v>
      </c>
      <c r="C203" s="10">
        <v>12526</v>
      </c>
      <c r="D203" s="169" t="s">
        <v>57</v>
      </c>
      <c r="E203" s="170"/>
      <c r="F203" s="171"/>
      <c r="G203" s="18">
        <v>4921</v>
      </c>
      <c r="H203" s="172" t="s">
        <v>4</v>
      </c>
      <c r="I203" s="173"/>
      <c r="J203" s="174"/>
      <c r="K203" s="10">
        <v>51</v>
      </c>
      <c r="L203" s="15"/>
      <c r="M203" s="15"/>
      <c r="N203" s="16"/>
    </row>
    <row r="204" spans="2:14" ht="15.75" x14ac:dyDescent="0.25">
      <c r="B204" s="4" t="s">
        <v>5</v>
      </c>
      <c r="C204" s="19">
        <v>51</v>
      </c>
      <c r="D204" s="169" t="s">
        <v>8</v>
      </c>
      <c r="E204" s="170"/>
      <c r="F204" s="171"/>
      <c r="G204" s="17">
        <v>0.33</v>
      </c>
      <c r="H204" s="172" t="s">
        <v>9</v>
      </c>
      <c r="I204" s="173"/>
      <c r="J204" s="174"/>
      <c r="K204" s="12">
        <v>0.88</v>
      </c>
      <c r="L204" s="172" t="s">
        <v>6</v>
      </c>
      <c r="M204" s="174"/>
      <c r="N204" s="20">
        <v>2.21</v>
      </c>
    </row>
    <row r="205" spans="2:14" ht="16.5" thickBot="1" x14ac:dyDescent="0.3">
      <c r="B205" s="5"/>
      <c r="C205" s="9"/>
      <c r="D205" s="9"/>
      <c r="E205" s="9"/>
      <c r="F205" s="9"/>
      <c r="G205" s="9"/>
      <c r="H205" s="79"/>
      <c r="I205" s="21"/>
      <c r="J205" s="21"/>
      <c r="K205" s="21"/>
      <c r="L205" s="21"/>
      <c r="M205" s="21"/>
      <c r="N205" s="6"/>
    </row>
    <row r="206" spans="2:14" ht="15.75" x14ac:dyDescent="0.25">
      <c r="B206" s="7" t="s">
        <v>7</v>
      </c>
      <c r="C206" s="1">
        <v>1</v>
      </c>
      <c r="D206" s="1">
        <v>2</v>
      </c>
      <c r="E206" s="1">
        <v>3</v>
      </c>
      <c r="F206" s="1">
        <v>4</v>
      </c>
      <c r="G206" s="1">
        <v>5</v>
      </c>
      <c r="H206" s="77">
        <v>6</v>
      </c>
      <c r="I206" s="160" t="s">
        <v>149</v>
      </c>
      <c r="J206" s="220"/>
      <c r="K206" s="220"/>
      <c r="L206" s="220"/>
      <c r="M206" s="220"/>
      <c r="N206" s="221"/>
    </row>
    <row r="207" spans="2:14" ht="15.75" x14ac:dyDescent="0.25">
      <c r="B207" s="87" t="s">
        <v>10</v>
      </c>
      <c r="C207" s="19">
        <v>50</v>
      </c>
      <c r="D207" s="19">
        <v>52</v>
      </c>
      <c r="E207" s="19">
        <v>48</v>
      </c>
      <c r="F207" s="19">
        <v>48</v>
      </c>
      <c r="G207" s="19">
        <v>50</v>
      </c>
      <c r="H207" s="95">
        <v>49</v>
      </c>
      <c r="I207" s="222"/>
      <c r="J207" s="223"/>
      <c r="K207" s="223"/>
      <c r="L207" s="223"/>
      <c r="M207" s="223"/>
      <c r="N207" s="224"/>
    </row>
    <row r="208" spans="2:14" ht="16.5" thickBot="1" x14ac:dyDescent="0.3">
      <c r="B208" s="94" t="s">
        <v>12</v>
      </c>
      <c r="C208" s="93">
        <v>90</v>
      </c>
      <c r="D208" s="93">
        <v>92</v>
      </c>
      <c r="E208" s="93">
        <v>86</v>
      </c>
      <c r="F208" s="93">
        <v>87</v>
      </c>
      <c r="G208" s="93">
        <v>84</v>
      </c>
      <c r="H208" s="97">
        <v>84</v>
      </c>
      <c r="I208" s="225"/>
      <c r="J208" s="226"/>
      <c r="K208" s="226"/>
      <c r="L208" s="226"/>
      <c r="M208" s="226"/>
      <c r="N208" s="227"/>
    </row>
    <row r="210" spans="2:14" ht="15.75" thickBot="1" x14ac:dyDescent="0.3"/>
    <row r="211" spans="2:14" ht="15.75" x14ac:dyDescent="0.25">
      <c r="B211" s="2" t="s">
        <v>0</v>
      </c>
      <c r="C211" s="175" t="s">
        <v>59</v>
      </c>
      <c r="D211" s="176"/>
      <c r="E211" s="177" t="s">
        <v>1</v>
      </c>
      <c r="F211" s="178"/>
      <c r="G211" s="11">
        <v>120</v>
      </c>
      <c r="H211" s="179" t="s">
        <v>2</v>
      </c>
      <c r="I211" s="180"/>
      <c r="J211" s="181"/>
      <c r="K211" s="13">
        <v>120</v>
      </c>
      <c r="L211" s="3"/>
      <c r="M211" s="80" t="s">
        <v>11</v>
      </c>
      <c r="N211" s="98">
        <v>44737</v>
      </c>
    </row>
    <row r="212" spans="2:14" ht="15.75" x14ac:dyDescent="0.25">
      <c r="B212" s="4" t="s">
        <v>3</v>
      </c>
      <c r="C212" s="10">
        <v>12624</v>
      </c>
      <c r="D212" s="169" t="s">
        <v>57</v>
      </c>
      <c r="E212" s="170"/>
      <c r="F212" s="171"/>
      <c r="G212" s="18">
        <v>7538</v>
      </c>
      <c r="H212" s="172" t="s">
        <v>4</v>
      </c>
      <c r="I212" s="173"/>
      <c r="J212" s="174"/>
      <c r="K212" s="10">
        <v>58</v>
      </c>
      <c r="L212" s="15"/>
      <c r="M212" s="15"/>
      <c r="N212" s="16"/>
    </row>
    <row r="213" spans="2:14" ht="15.75" x14ac:dyDescent="0.25">
      <c r="B213" s="4" t="s">
        <v>5</v>
      </c>
      <c r="C213" s="19">
        <v>68</v>
      </c>
      <c r="D213" s="169" t="s">
        <v>8</v>
      </c>
      <c r="E213" s="170"/>
      <c r="F213" s="171"/>
      <c r="G213" s="17">
        <v>0.33</v>
      </c>
      <c r="H213" s="172" t="s">
        <v>9</v>
      </c>
      <c r="I213" s="173"/>
      <c r="J213" s="174"/>
      <c r="K213" s="12">
        <v>0.88</v>
      </c>
      <c r="L213" s="172" t="s">
        <v>6</v>
      </c>
      <c r="M213" s="174"/>
      <c r="N213" s="20">
        <v>2.21</v>
      </c>
    </row>
    <row r="214" spans="2:14" ht="16.5" thickBot="1" x14ac:dyDescent="0.3">
      <c r="B214" s="5"/>
      <c r="C214" s="9"/>
      <c r="D214" s="9"/>
      <c r="E214" s="9"/>
      <c r="F214" s="9"/>
      <c r="G214" s="9"/>
      <c r="H214" s="79"/>
      <c r="I214" s="21"/>
      <c r="J214" s="21"/>
      <c r="K214" s="21"/>
      <c r="L214" s="21"/>
      <c r="M214" s="21"/>
      <c r="N214" s="6"/>
    </row>
    <row r="215" spans="2:14" ht="15.75" x14ac:dyDescent="0.25">
      <c r="B215" s="7" t="s">
        <v>7</v>
      </c>
      <c r="C215" s="1">
        <v>1</v>
      </c>
      <c r="D215" s="1">
        <v>2</v>
      </c>
      <c r="E215" s="1">
        <v>3</v>
      </c>
      <c r="F215" s="1">
        <v>4</v>
      </c>
      <c r="G215" s="1">
        <v>5</v>
      </c>
      <c r="H215" s="77">
        <v>6</v>
      </c>
      <c r="I215" s="160" t="s">
        <v>148</v>
      </c>
      <c r="J215" s="220"/>
      <c r="K215" s="220"/>
      <c r="L215" s="220"/>
      <c r="M215" s="220"/>
      <c r="N215" s="221"/>
    </row>
    <row r="216" spans="2:14" ht="15.75" x14ac:dyDescent="0.25">
      <c r="B216" s="87" t="s">
        <v>10</v>
      </c>
      <c r="C216" s="19">
        <v>52</v>
      </c>
      <c r="D216" s="19">
        <v>55</v>
      </c>
      <c r="E216" s="19">
        <v>54</v>
      </c>
      <c r="F216" s="19">
        <v>55</v>
      </c>
      <c r="G216" s="19">
        <v>51</v>
      </c>
      <c r="H216" s="95">
        <v>53</v>
      </c>
      <c r="I216" s="222"/>
      <c r="J216" s="223"/>
      <c r="K216" s="223"/>
      <c r="L216" s="223"/>
      <c r="M216" s="223"/>
      <c r="N216" s="224"/>
    </row>
    <row r="217" spans="2:14" ht="16.5" thickBot="1" x14ac:dyDescent="0.3">
      <c r="B217" s="94" t="s">
        <v>12</v>
      </c>
      <c r="C217" s="93">
        <v>97</v>
      </c>
      <c r="D217" s="93">
        <v>93</v>
      </c>
      <c r="E217" s="93">
        <v>97</v>
      </c>
      <c r="F217" s="93">
        <v>95</v>
      </c>
      <c r="G217" s="93">
        <v>89</v>
      </c>
      <c r="H217" s="97">
        <v>94</v>
      </c>
      <c r="I217" s="225"/>
      <c r="J217" s="226"/>
      <c r="K217" s="226"/>
      <c r="L217" s="226"/>
      <c r="M217" s="226"/>
      <c r="N217" s="227"/>
    </row>
    <row r="219" spans="2:14" ht="15.75" thickBot="1" x14ac:dyDescent="0.3"/>
    <row r="220" spans="2:14" ht="15.75" x14ac:dyDescent="0.25">
      <c r="B220" s="2" t="s">
        <v>0</v>
      </c>
      <c r="C220" s="175" t="s">
        <v>59</v>
      </c>
      <c r="D220" s="176"/>
      <c r="E220" s="177" t="s">
        <v>1</v>
      </c>
      <c r="F220" s="178"/>
      <c r="G220" s="11">
        <v>120</v>
      </c>
      <c r="H220" s="179" t="s">
        <v>2</v>
      </c>
      <c r="I220" s="180"/>
      <c r="J220" s="181"/>
      <c r="K220" s="13">
        <v>120</v>
      </c>
      <c r="L220" s="3"/>
      <c r="M220" s="80" t="s">
        <v>11</v>
      </c>
      <c r="N220" s="98">
        <v>44744</v>
      </c>
    </row>
    <row r="221" spans="2:14" ht="15.75" x14ac:dyDescent="0.25">
      <c r="B221" s="4" t="s">
        <v>3</v>
      </c>
      <c r="C221" s="10">
        <v>12792</v>
      </c>
      <c r="D221" s="169" t="s">
        <v>57</v>
      </c>
      <c r="E221" s="170"/>
      <c r="F221" s="171"/>
      <c r="G221" s="18">
        <v>7714</v>
      </c>
      <c r="H221" s="172" t="s">
        <v>4</v>
      </c>
      <c r="I221" s="173"/>
      <c r="J221" s="174"/>
      <c r="K221" s="10">
        <v>58</v>
      </c>
      <c r="L221" s="15"/>
      <c r="M221" s="15"/>
      <c r="N221" s="16"/>
    </row>
    <row r="222" spans="2:14" ht="15.75" x14ac:dyDescent="0.25">
      <c r="B222" s="4" t="s">
        <v>5</v>
      </c>
      <c r="C222" s="19">
        <v>70</v>
      </c>
      <c r="D222" s="169" t="s">
        <v>8</v>
      </c>
      <c r="E222" s="170"/>
      <c r="F222" s="171"/>
      <c r="G222" s="17">
        <v>0.33</v>
      </c>
      <c r="H222" s="172" t="s">
        <v>9</v>
      </c>
      <c r="I222" s="173"/>
      <c r="J222" s="174"/>
      <c r="K222" s="12">
        <v>0.88</v>
      </c>
      <c r="L222" s="172" t="s">
        <v>6</v>
      </c>
      <c r="M222" s="174"/>
      <c r="N222" s="20">
        <v>2.21</v>
      </c>
    </row>
    <row r="223" spans="2:14" ht="16.5" thickBot="1" x14ac:dyDescent="0.3">
      <c r="B223" s="5"/>
      <c r="C223" s="9"/>
      <c r="D223" s="9"/>
      <c r="E223" s="9"/>
      <c r="F223" s="9"/>
      <c r="G223" s="9"/>
      <c r="H223" s="79"/>
      <c r="I223" s="21"/>
      <c r="J223" s="21"/>
      <c r="K223" s="21"/>
      <c r="L223" s="21"/>
      <c r="M223" s="21"/>
      <c r="N223" s="6"/>
    </row>
    <row r="224" spans="2:14" ht="15.75" x14ac:dyDescent="0.25">
      <c r="B224" s="7" t="s">
        <v>7</v>
      </c>
      <c r="C224" s="1">
        <v>1</v>
      </c>
      <c r="D224" s="1">
        <v>2</v>
      </c>
      <c r="E224" s="1">
        <v>3</v>
      </c>
      <c r="F224" s="1">
        <v>4</v>
      </c>
      <c r="G224" s="1">
        <v>5</v>
      </c>
      <c r="H224" s="77">
        <v>6</v>
      </c>
      <c r="I224" s="160" t="s">
        <v>147</v>
      </c>
      <c r="J224" s="220"/>
      <c r="K224" s="220"/>
      <c r="L224" s="220"/>
      <c r="M224" s="220"/>
      <c r="N224" s="221"/>
    </row>
    <row r="225" spans="2:14" ht="15.75" x14ac:dyDescent="0.25">
      <c r="B225" s="87" t="s">
        <v>10</v>
      </c>
      <c r="C225" s="19">
        <v>55</v>
      </c>
      <c r="D225" s="19">
        <v>53</v>
      </c>
      <c r="E225" s="19">
        <v>52</v>
      </c>
      <c r="F225" s="19">
        <v>53</v>
      </c>
      <c r="G225" s="19">
        <v>55</v>
      </c>
      <c r="H225" s="95">
        <v>50</v>
      </c>
      <c r="I225" s="222"/>
      <c r="J225" s="223"/>
      <c r="K225" s="223"/>
      <c r="L225" s="223"/>
      <c r="M225" s="223"/>
      <c r="N225" s="224"/>
    </row>
    <row r="226" spans="2:14" ht="16.5" thickBot="1" x14ac:dyDescent="0.3">
      <c r="B226" s="94" t="s">
        <v>12</v>
      </c>
      <c r="C226" s="93">
        <v>88</v>
      </c>
      <c r="D226" s="93">
        <v>97</v>
      </c>
      <c r="E226" s="93">
        <v>92</v>
      </c>
      <c r="F226" s="93">
        <v>98</v>
      </c>
      <c r="G226" s="93">
        <v>96</v>
      </c>
      <c r="H226" s="97">
        <v>98</v>
      </c>
      <c r="I226" s="225"/>
      <c r="J226" s="226"/>
      <c r="K226" s="226"/>
      <c r="L226" s="226"/>
      <c r="M226" s="226"/>
      <c r="N226" s="227"/>
    </row>
    <row r="228" spans="2:14" ht="15.75" thickBot="1" x14ac:dyDescent="0.3"/>
    <row r="229" spans="2:14" ht="15.75" x14ac:dyDescent="0.25">
      <c r="B229" s="2" t="s">
        <v>0</v>
      </c>
      <c r="C229" s="175" t="s">
        <v>59</v>
      </c>
      <c r="D229" s="176"/>
      <c r="E229" s="177" t="s">
        <v>1</v>
      </c>
      <c r="F229" s="178"/>
      <c r="G229" s="11">
        <v>120</v>
      </c>
      <c r="H229" s="179" t="s">
        <v>2</v>
      </c>
      <c r="I229" s="180"/>
      <c r="J229" s="181"/>
      <c r="K229" s="13">
        <v>120</v>
      </c>
      <c r="L229" s="3"/>
      <c r="M229" s="80" t="s">
        <v>11</v>
      </c>
      <c r="N229" s="98">
        <v>44751</v>
      </c>
    </row>
    <row r="230" spans="2:14" ht="15.75" x14ac:dyDescent="0.25">
      <c r="B230" s="4" t="s">
        <v>3</v>
      </c>
      <c r="C230" s="10">
        <v>12899</v>
      </c>
      <c r="D230" s="169" t="s">
        <v>57</v>
      </c>
      <c r="E230" s="170"/>
      <c r="F230" s="171"/>
      <c r="G230" s="18"/>
      <c r="H230" s="172" t="s">
        <v>4</v>
      </c>
      <c r="I230" s="173"/>
      <c r="J230" s="174"/>
      <c r="K230" s="10"/>
      <c r="L230" s="15"/>
      <c r="M230" s="15"/>
      <c r="N230" s="16"/>
    </row>
    <row r="231" spans="2:14" ht="15.75" x14ac:dyDescent="0.25">
      <c r="B231" s="4" t="s">
        <v>5</v>
      </c>
      <c r="C231" s="19"/>
      <c r="D231" s="169" t="s">
        <v>8</v>
      </c>
      <c r="E231" s="170"/>
      <c r="F231" s="171"/>
      <c r="G231" s="17">
        <v>0.33</v>
      </c>
      <c r="H231" s="172" t="s">
        <v>9</v>
      </c>
      <c r="I231" s="173"/>
      <c r="J231" s="174"/>
      <c r="K231" s="12">
        <v>0.88</v>
      </c>
      <c r="L231" s="172" t="s">
        <v>6</v>
      </c>
      <c r="M231" s="174"/>
      <c r="N231" s="20">
        <v>2.21</v>
      </c>
    </row>
    <row r="232" spans="2:14" ht="16.5" thickBot="1" x14ac:dyDescent="0.3">
      <c r="B232" s="5"/>
      <c r="C232" s="9"/>
      <c r="D232" s="9"/>
      <c r="E232" s="9"/>
      <c r="F232" s="9"/>
      <c r="G232" s="9"/>
      <c r="H232" s="79"/>
      <c r="I232" s="21"/>
      <c r="J232" s="21"/>
      <c r="K232" s="21"/>
      <c r="L232" s="21"/>
      <c r="M232" s="21"/>
      <c r="N232" s="6"/>
    </row>
    <row r="233" spans="2:14" ht="15.75" x14ac:dyDescent="0.25">
      <c r="B233" s="7" t="s">
        <v>7</v>
      </c>
      <c r="C233" s="1">
        <v>1</v>
      </c>
      <c r="D233" s="1">
        <v>2</v>
      </c>
      <c r="E233" s="1">
        <v>3</v>
      </c>
      <c r="F233" s="1">
        <v>4</v>
      </c>
      <c r="G233" s="1">
        <v>5</v>
      </c>
      <c r="H233" s="77">
        <v>6</v>
      </c>
      <c r="I233" s="160" t="s">
        <v>146</v>
      </c>
      <c r="J233" s="220"/>
      <c r="K233" s="220"/>
      <c r="L233" s="220"/>
      <c r="M233" s="220"/>
      <c r="N233" s="221"/>
    </row>
    <row r="234" spans="2:14" ht="15.75" x14ac:dyDescent="0.25">
      <c r="B234" s="87" t="s">
        <v>10</v>
      </c>
      <c r="C234" s="19"/>
      <c r="D234" s="19"/>
      <c r="E234" s="19"/>
      <c r="F234" s="19"/>
      <c r="G234" s="19"/>
      <c r="H234" s="95"/>
      <c r="I234" s="222"/>
      <c r="J234" s="223"/>
      <c r="K234" s="223"/>
      <c r="L234" s="223"/>
      <c r="M234" s="223"/>
      <c r="N234" s="224"/>
    </row>
    <row r="235" spans="2:14" ht="16.5" thickBot="1" x14ac:dyDescent="0.3">
      <c r="B235" s="94" t="s">
        <v>12</v>
      </c>
      <c r="C235" s="93"/>
      <c r="D235" s="93"/>
      <c r="E235" s="93"/>
      <c r="F235" s="93"/>
      <c r="G235" s="93"/>
      <c r="H235" s="97"/>
      <c r="I235" s="225"/>
      <c r="J235" s="226"/>
      <c r="K235" s="226"/>
      <c r="L235" s="226"/>
      <c r="M235" s="226"/>
      <c r="N235" s="227"/>
    </row>
    <row r="237" spans="2:14" ht="15.75" thickBot="1" x14ac:dyDescent="0.3"/>
    <row r="238" spans="2:14" ht="15.75" x14ac:dyDescent="0.25">
      <c r="B238" s="2" t="s">
        <v>0</v>
      </c>
      <c r="C238" s="175" t="s">
        <v>59</v>
      </c>
      <c r="D238" s="176"/>
      <c r="E238" s="177" t="s">
        <v>1</v>
      </c>
      <c r="F238" s="178"/>
      <c r="G238" s="11">
        <v>120</v>
      </c>
      <c r="H238" s="179" t="s">
        <v>2</v>
      </c>
      <c r="I238" s="180"/>
      <c r="J238" s="181"/>
      <c r="K238" s="13">
        <v>120</v>
      </c>
      <c r="L238" s="3"/>
      <c r="M238" s="80" t="s">
        <v>11</v>
      </c>
      <c r="N238" s="98">
        <v>44758</v>
      </c>
    </row>
    <row r="239" spans="2:14" ht="15.75" x14ac:dyDescent="0.25">
      <c r="B239" s="4" t="s">
        <v>3</v>
      </c>
      <c r="C239" s="10">
        <v>12899</v>
      </c>
      <c r="D239" s="169" t="s">
        <v>57</v>
      </c>
      <c r="E239" s="170"/>
      <c r="F239" s="171"/>
      <c r="G239" s="18"/>
      <c r="H239" s="172" t="s">
        <v>4</v>
      </c>
      <c r="I239" s="173"/>
      <c r="J239" s="174"/>
      <c r="K239" s="10"/>
      <c r="L239" s="15"/>
      <c r="M239" s="15"/>
      <c r="N239" s="16"/>
    </row>
    <row r="240" spans="2:14" ht="15.75" x14ac:dyDescent="0.25">
      <c r="B240" s="4" t="s">
        <v>5</v>
      </c>
      <c r="C240" s="19"/>
      <c r="D240" s="169" t="s">
        <v>8</v>
      </c>
      <c r="E240" s="170"/>
      <c r="F240" s="171"/>
      <c r="G240" s="17">
        <v>0.33</v>
      </c>
      <c r="H240" s="172" t="s">
        <v>9</v>
      </c>
      <c r="I240" s="173"/>
      <c r="J240" s="174"/>
      <c r="K240" s="12">
        <v>0.88</v>
      </c>
      <c r="L240" s="172" t="s">
        <v>6</v>
      </c>
      <c r="M240" s="174"/>
      <c r="N240" s="20">
        <v>2.21</v>
      </c>
    </row>
    <row r="241" spans="2:14" ht="16.5" thickBot="1" x14ac:dyDescent="0.3">
      <c r="B241" s="5"/>
      <c r="C241" s="9"/>
      <c r="D241" s="9"/>
      <c r="E241" s="9"/>
      <c r="F241" s="9"/>
      <c r="G241" s="9"/>
      <c r="H241" s="79"/>
      <c r="I241" s="21"/>
      <c r="J241" s="21"/>
      <c r="K241" s="21"/>
      <c r="L241" s="21"/>
      <c r="M241" s="21"/>
      <c r="N241" s="6"/>
    </row>
    <row r="242" spans="2:14" ht="15.75" x14ac:dyDescent="0.25">
      <c r="B242" s="7" t="s">
        <v>7</v>
      </c>
      <c r="C242" s="1">
        <v>1</v>
      </c>
      <c r="D242" s="1">
        <v>2</v>
      </c>
      <c r="E242" s="1">
        <v>3</v>
      </c>
      <c r="F242" s="1">
        <v>4</v>
      </c>
      <c r="G242" s="1">
        <v>5</v>
      </c>
      <c r="H242" s="77">
        <v>6</v>
      </c>
      <c r="I242" s="160" t="s">
        <v>152</v>
      </c>
      <c r="J242" s="220"/>
      <c r="K242" s="220"/>
      <c r="L242" s="220"/>
      <c r="M242" s="220"/>
      <c r="N242" s="221"/>
    </row>
    <row r="243" spans="2:14" ht="15.75" x14ac:dyDescent="0.25">
      <c r="B243" s="87" t="s">
        <v>10</v>
      </c>
      <c r="C243" s="19"/>
      <c r="D243" s="19"/>
      <c r="E243" s="19"/>
      <c r="F243" s="19"/>
      <c r="G243" s="19"/>
      <c r="H243" s="95"/>
      <c r="I243" s="222"/>
      <c r="J243" s="223"/>
      <c r="K243" s="223"/>
      <c r="L243" s="223"/>
      <c r="M243" s="223"/>
      <c r="N243" s="224"/>
    </row>
    <row r="244" spans="2:14" ht="16.5" thickBot="1" x14ac:dyDescent="0.3">
      <c r="B244" s="94" t="s">
        <v>12</v>
      </c>
      <c r="C244" s="93"/>
      <c r="D244" s="93"/>
      <c r="E244" s="93"/>
      <c r="F244" s="93"/>
      <c r="G244" s="93"/>
      <c r="H244" s="97"/>
      <c r="I244" s="225"/>
      <c r="J244" s="226"/>
      <c r="K244" s="226"/>
      <c r="L244" s="226"/>
      <c r="M244" s="226"/>
      <c r="N244" s="227"/>
    </row>
    <row r="246" spans="2:14" ht="15.75" thickBot="1" x14ac:dyDescent="0.3"/>
    <row r="247" spans="2:14" ht="15.75" x14ac:dyDescent="0.25">
      <c r="B247" s="2" t="s">
        <v>0</v>
      </c>
      <c r="C247" s="175" t="s">
        <v>59</v>
      </c>
      <c r="D247" s="176"/>
      <c r="E247" s="177" t="s">
        <v>1</v>
      </c>
      <c r="F247" s="178"/>
      <c r="G247" s="11">
        <v>120</v>
      </c>
      <c r="H247" s="179" t="s">
        <v>2</v>
      </c>
      <c r="I247" s="180"/>
      <c r="J247" s="181"/>
      <c r="K247" s="13">
        <v>120</v>
      </c>
      <c r="L247" s="3"/>
      <c r="M247" s="80" t="s">
        <v>11</v>
      </c>
      <c r="N247" s="98">
        <v>44765</v>
      </c>
    </row>
    <row r="248" spans="2:14" ht="15.75" x14ac:dyDescent="0.25">
      <c r="B248" s="4" t="s">
        <v>3</v>
      </c>
      <c r="C248" s="10">
        <v>12926</v>
      </c>
      <c r="D248" s="169" t="s">
        <v>57</v>
      </c>
      <c r="E248" s="170"/>
      <c r="F248" s="171"/>
      <c r="G248" s="18"/>
      <c r="H248" s="172" t="s">
        <v>4</v>
      </c>
      <c r="I248" s="173"/>
      <c r="J248" s="174"/>
      <c r="K248" s="10"/>
      <c r="L248" s="15"/>
      <c r="M248" s="15"/>
      <c r="N248" s="16"/>
    </row>
    <row r="249" spans="2:14" ht="15.75" x14ac:dyDescent="0.25">
      <c r="B249" s="4" t="s">
        <v>5</v>
      </c>
      <c r="C249" s="19"/>
      <c r="D249" s="169" t="s">
        <v>8</v>
      </c>
      <c r="E249" s="170"/>
      <c r="F249" s="171"/>
      <c r="G249" s="17">
        <v>0.33</v>
      </c>
      <c r="H249" s="172" t="s">
        <v>9</v>
      </c>
      <c r="I249" s="173"/>
      <c r="J249" s="174"/>
      <c r="K249" s="12">
        <v>0.88</v>
      </c>
      <c r="L249" s="172" t="s">
        <v>6</v>
      </c>
      <c r="M249" s="174"/>
      <c r="N249" s="20">
        <v>2.21</v>
      </c>
    </row>
    <row r="250" spans="2:14" ht="16.5" thickBot="1" x14ac:dyDescent="0.3">
      <c r="B250" s="5"/>
      <c r="C250" s="9"/>
      <c r="D250" s="9"/>
      <c r="E250" s="9"/>
      <c r="F250" s="9"/>
      <c r="G250" s="9"/>
      <c r="H250" s="79"/>
      <c r="I250" s="21"/>
      <c r="J250" s="21"/>
      <c r="K250" s="21"/>
      <c r="L250" s="21"/>
      <c r="M250" s="21"/>
      <c r="N250" s="6"/>
    </row>
    <row r="251" spans="2:14" ht="15.75" x14ac:dyDescent="0.25">
      <c r="B251" s="7" t="s">
        <v>7</v>
      </c>
      <c r="C251" s="1">
        <v>1</v>
      </c>
      <c r="D251" s="1">
        <v>2</v>
      </c>
      <c r="E251" s="1">
        <v>3</v>
      </c>
      <c r="F251" s="1">
        <v>4</v>
      </c>
      <c r="G251" s="1">
        <v>5</v>
      </c>
      <c r="H251" s="77">
        <v>6</v>
      </c>
      <c r="I251" s="160" t="s">
        <v>156</v>
      </c>
      <c r="J251" s="220"/>
      <c r="K251" s="220"/>
      <c r="L251" s="220"/>
      <c r="M251" s="220"/>
      <c r="N251" s="221"/>
    </row>
    <row r="252" spans="2:14" ht="15.75" x14ac:dyDescent="0.25">
      <c r="B252" s="87" t="s">
        <v>10</v>
      </c>
      <c r="C252" s="19"/>
      <c r="D252" s="19"/>
      <c r="E252" s="19"/>
      <c r="F252" s="19"/>
      <c r="G252" s="19"/>
      <c r="H252" s="95"/>
      <c r="I252" s="222"/>
      <c r="J252" s="223"/>
      <c r="K252" s="223"/>
      <c r="L252" s="223"/>
      <c r="M252" s="223"/>
      <c r="N252" s="224"/>
    </row>
    <row r="253" spans="2:14" ht="16.5" thickBot="1" x14ac:dyDescent="0.3">
      <c r="B253" s="94" t="s">
        <v>12</v>
      </c>
      <c r="C253" s="93"/>
      <c r="D253" s="93"/>
      <c r="E253" s="93"/>
      <c r="F253" s="93"/>
      <c r="G253" s="93"/>
      <c r="H253" s="97"/>
      <c r="I253" s="225"/>
      <c r="J253" s="226"/>
      <c r="K253" s="226"/>
      <c r="L253" s="226"/>
      <c r="M253" s="226"/>
      <c r="N253" s="227"/>
    </row>
    <row r="255" spans="2:14" ht="15.75" thickBot="1" x14ac:dyDescent="0.3"/>
    <row r="256" spans="2:14" ht="15.75" x14ac:dyDescent="0.25">
      <c r="B256" s="2" t="s">
        <v>0</v>
      </c>
      <c r="C256" s="175" t="s">
        <v>59</v>
      </c>
      <c r="D256" s="176"/>
      <c r="E256" s="177" t="s">
        <v>1</v>
      </c>
      <c r="F256" s="178"/>
      <c r="G256" s="11">
        <v>120</v>
      </c>
      <c r="H256" s="179" t="s">
        <v>2</v>
      </c>
      <c r="I256" s="180"/>
      <c r="J256" s="181"/>
      <c r="K256" s="13">
        <v>120</v>
      </c>
      <c r="L256" s="3"/>
      <c r="M256" s="80" t="s">
        <v>11</v>
      </c>
      <c r="N256" s="98">
        <v>44772</v>
      </c>
    </row>
    <row r="257" spans="2:14" ht="15.75" x14ac:dyDescent="0.25">
      <c r="B257" s="4" t="s">
        <v>3</v>
      </c>
      <c r="C257" s="10">
        <v>12926</v>
      </c>
      <c r="D257" s="169" t="s">
        <v>57</v>
      </c>
      <c r="E257" s="170"/>
      <c r="F257" s="171"/>
      <c r="G257" s="18"/>
      <c r="H257" s="172" t="s">
        <v>4</v>
      </c>
      <c r="I257" s="173"/>
      <c r="J257" s="174"/>
      <c r="K257" s="10"/>
      <c r="L257" s="15"/>
      <c r="M257" s="15"/>
      <c r="N257" s="16"/>
    </row>
    <row r="258" spans="2:14" ht="15.75" x14ac:dyDescent="0.25">
      <c r="B258" s="4" t="s">
        <v>5</v>
      </c>
      <c r="C258" s="19"/>
      <c r="D258" s="169" t="s">
        <v>8</v>
      </c>
      <c r="E258" s="170"/>
      <c r="F258" s="171"/>
      <c r="G258" s="17">
        <v>0.33</v>
      </c>
      <c r="H258" s="172" t="s">
        <v>9</v>
      </c>
      <c r="I258" s="173"/>
      <c r="J258" s="174"/>
      <c r="K258" s="12">
        <v>0.88</v>
      </c>
      <c r="L258" s="172" t="s">
        <v>6</v>
      </c>
      <c r="M258" s="174"/>
      <c r="N258" s="20">
        <v>2.21</v>
      </c>
    </row>
    <row r="259" spans="2:14" ht="16.5" thickBot="1" x14ac:dyDescent="0.3">
      <c r="B259" s="5"/>
      <c r="C259" s="9"/>
      <c r="D259" s="9"/>
      <c r="E259" s="9"/>
      <c r="F259" s="9"/>
      <c r="G259" s="9"/>
      <c r="H259" s="79"/>
      <c r="I259" s="21"/>
      <c r="J259" s="21"/>
      <c r="K259" s="21"/>
      <c r="L259" s="21"/>
      <c r="M259" s="21"/>
      <c r="N259" s="6"/>
    </row>
    <row r="260" spans="2:14" ht="15.75" x14ac:dyDescent="0.25">
      <c r="B260" s="7" t="s">
        <v>7</v>
      </c>
      <c r="C260" s="1">
        <v>1</v>
      </c>
      <c r="D260" s="1">
        <v>2</v>
      </c>
      <c r="E260" s="1">
        <v>3</v>
      </c>
      <c r="F260" s="1">
        <v>4</v>
      </c>
      <c r="G260" s="1">
        <v>5</v>
      </c>
      <c r="H260" s="77">
        <v>6</v>
      </c>
      <c r="I260" s="160" t="s">
        <v>155</v>
      </c>
      <c r="J260" s="220"/>
      <c r="K260" s="220"/>
      <c r="L260" s="220"/>
      <c r="M260" s="220"/>
      <c r="N260" s="221"/>
    </row>
    <row r="261" spans="2:14" ht="15.75" x14ac:dyDescent="0.25">
      <c r="B261" s="87" t="s">
        <v>10</v>
      </c>
      <c r="C261" s="19"/>
      <c r="D261" s="19"/>
      <c r="E261" s="19"/>
      <c r="F261" s="19"/>
      <c r="G261" s="19"/>
      <c r="H261" s="95"/>
      <c r="I261" s="222"/>
      <c r="J261" s="223"/>
      <c r="K261" s="223"/>
      <c r="L261" s="223"/>
      <c r="M261" s="223"/>
      <c r="N261" s="224"/>
    </row>
    <row r="262" spans="2:14" ht="16.5" thickBot="1" x14ac:dyDescent="0.3">
      <c r="B262" s="94" t="s">
        <v>12</v>
      </c>
      <c r="C262" s="93"/>
      <c r="D262" s="93"/>
      <c r="E262" s="93"/>
      <c r="F262" s="93"/>
      <c r="G262" s="93"/>
      <c r="H262" s="97"/>
      <c r="I262" s="225"/>
      <c r="J262" s="226"/>
      <c r="K262" s="226"/>
      <c r="L262" s="226"/>
      <c r="M262" s="226"/>
      <c r="N262" s="227"/>
    </row>
    <row r="264" spans="2:14" ht="15.75" thickBot="1" x14ac:dyDescent="0.3"/>
    <row r="265" spans="2:14" ht="15.75" x14ac:dyDescent="0.25">
      <c r="B265" s="2" t="s">
        <v>0</v>
      </c>
      <c r="C265" s="175" t="s">
        <v>59</v>
      </c>
      <c r="D265" s="176"/>
      <c r="E265" s="177" t="s">
        <v>1</v>
      </c>
      <c r="F265" s="178"/>
      <c r="G265" s="11">
        <v>120</v>
      </c>
      <c r="H265" s="179" t="s">
        <v>2</v>
      </c>
      <c r="I265" s="180"/>
      <c r="J265" s="181"/>
      <c r="K265" s="13">
        <v>120</v>
      </c>
      <c r="L265" s="3"/>
      <c r="M265" s="80" t="s">
        <v>11</v>
      </c>
      <c r="N265" s="98">
        <v>44779</v>
      </c>
    </row>
    <row r="266" spans="2:14" ht="15.75" x14ac:dyDescent="0.25">
      <c r="B266" s="4" t="s">
        <v>3</v>
      </c>
      <c r="C266" s="10">
        <v>12926</v>
      </c>
      <c r="D266" s="169" t="s">
        <v>57</v>
      </c>
      <c r="E266" s="170"/>
      <c r="F266" s="171"/>
      <c r="G266" s="18"/>
      <c r="H266" s="172" t="s">
        <v>4</v>
      </c>
      <c r="I266" s="173"/>
      <c r="J266" s="174"/>
      <c r="K266" s="10"/>
      <c r="L266" s="15"/>
      <c r="M266" s="15"/>
      <c r="N266" s="16"/>
    </row>
    <row r="267" spans="2:14" ht="15.75" x14ac:dyDescent="0.25">
      <c r="B267" s="4" t="s">
        <v>5</v>
      </c>
      <c r="C267" s="19"/>
      <c r="D267" s="169" t="s">
        <v>8</v>
      </c>
      <c r="E267" s="170"/>
      <c r="F267" s="171"/>
      <c r="G267" s="17">
        <v>0.33</v>
      </c>
      <c r="H267" s="172" t="s">
        <v>9</v>
      </c>
      <c r="I267" s="173"/>
      <c r="J267" s="174"/>
      <c r="K267" s="12">
        <v>0.88</v>
      </c>
      <c r="L267" s="172" t="s">
        <v>6</v>
      </c>
      <c r="M267" s="174"/>
      <c r="N267" s="20">
        <v>2.21</v>
      </c>
    </row>
    <row r="268" spans="2:14" ht="16.5" thickBot="1" x14ac:dyDescent="0.3">
      <c r="B268" s="5"/>
      <c r="C268" s="9"/>
      <c r="D268" s="9"/>
      <c r="E268" s="9"/>
      <c r="F268" s="9"/>
      <c r="G268" s="9"/>
      <c r="H268" s="79"/>
      <c r="I268" s="21"/>
      <c r="J268" s="21"/>
      <c r="K268" s="21"/>
      <c r="L268" s="21"/>
      <c r="M268" s="21"/>
      <c r="N268" s="6"/>
    </row>
    <row r="269" spans="2:14" ht="15.75" x14ac:dyDescent="0.25">
      <c r="B269" s="7" t="s">
        <v>7</v>
      </c>
      <c r="C269" s="1">
        <v>1</v>
      </c>
      <c r="D269" s="1">
        <v>2</v>
      </c>
      <c r="E269" s="1">
        <v>3</v>
      </c>
      <c r="F269" s="1">
        <v>4</v>
      </c>
      <c r="G269" s="1">
        <v>5</v>
      </c>
      <c r="H269" s="77">
        <v>6</v>
      </c>
      <c r="I269" s="160" t="s">
        <v>154</v>
      </c>
      <c r="J269" s="220"/>
      <c r="K269" s="220"/>
      <c r="L269" s="220"/>
      <c r="M269" s="220"/>
      <c r="N269" s="221"/>
    </row>
    <row r="270" spans="2:14" ht="15.75" x14ac:dyDescent="0.25">
      <c r="B270" s="87" t="s">
        <v>10</v>
      </c>
      <c r="C270" s="19"/>
      <c r="D270" s="19"/>
      <c r="E270" s="19"/>
      <c r="F270" s="19"/>
      <c r="G270" s="19"/>
      <c r="H270" s="95"/>
      <c r="I270" s="222"/>
      <c r="J270" s="223"/>
      <c r="K270" s="223"/>
      <c r="L270" s="223"/>
      <c r="M270" s="223"/>
      <c r="N270" s="224"/>
    </row>
    <row r="271" spans="2:14" ht="16.5" thickBot="1" x14ac:dyDescent="0.3">
      <c r="B271" s="94" t="s">
        <v>12</v>
      </c>
      <c r="C271" s="93"/>
      <c r="D271" s="93"/>
      <c r="E271" s="93"/>
      <c r="F271" s="93"/>
      <c r="G271" s="93"/>
      <c r="H271" s="97"/>
      <c r="I271" s="225"/>
      <c r="J271" s="226"/>
      <c r="K271" s="226"/>
      <c r="L271" s="226"/>
      <c r="M271" s="226"/>
      <c r="N271" s="227"/>
    </row>
    <row r="273" spans="2:14" ht="15.75" thickBot="1" x14ac:dyDescent="0.3"/>
    <row r="274" spans="2:14" ht="15.75" x14ac:dyDescent="0.25">
      <c r="B274" s="2" t="s">
        <v>0</v>
      </c>
      <c r="C274" s="175" t="s">
        <v>59</v>
      </c>
      <c r="D274" s="176"/>
      <c r="E274" s="177" t="s">
        <v>1</v>
      </c>
      <c r="F274" s="178"/>
      <c r="G274" s="11">
        <v>120</v>
      </c>
      <c r="H274" s="179" t="s">
        <v>2</v>
      </c>
      <c r="I274" s="180"/>
      <c r="J274" s="181"/>
      <c r="K274" s="13">
        <v>120</v>
      </c>
      <c r="L274" s="3"/>
      <c r="M274" s="80" t="s">
        <v>11</v>
      </c>
      <c r="N274" s="98">
        <v>44786</v>
      </c>
    </row>
    <row r="275" spans="2:14" ht="15.75" x14ac:dyDescent="0.25">
      <c r="B275" s="4" t="s">
        <v>3</v>
      </c>
      <c r="C275" s="10">
        <v>12931</v>
      </c>
      <c r="D275" s="169" t="s">
        <v>57</v>
      </c>
      <c r="E275" s="170"/>
      <c r="F275" s="171"/>
      <c r="G275" s="18"/>
      <c r="H275" s="172" t="s">
        <v>4</v>
      </c>
      <c r="I275" s="173"/>
      <c r="J275" s="174"/>
      <c r="K275" s="10"/>
      <c r="L275" s="15"/>
      <c r="M275" s="15"/>
      <c r="N275" s="16"/>
    </row>
    <row r="276" spans="2:14" ht="15.75" x14ac:dyDescent="0.25">
      <c r="B276" s="4" t="s">
        <v>5</v>
      </c>
      <c r="C276" s="19"/>
      <c r="D276" s="169" t="s">
        <v>8</v>
      </c>
      <c r="E276" s="170"/>
      <c r="F276" s="171"/>
      <c r="G276" s="17">
        <v>0.33</v>
      </c>
      <c r="H276" s="172" t="s">
        <v>9</v>
      </c>
      <c r="I276" s="173"/>
      <c r="J276" s="174"/>
      <c r="K276" s="12">
        <v>0.88</v>
      </c>
      <c r="L276" s="172" t="s">
        <v>6</v>
      </c>
      <c r="M276" s="174"/>
      <c r="N276" s="20">
        <v>2.21</v>
      </c>
    </row>
    <row r="277" spans="2:14" ht="16.5" thickBot="1" x14ac:dyDescent="0.3">
      <c r="B277" s="5"/>
      <c r="C277" s="9"/>
      <c r="D277" s="9"/>
      <c r="E277" s="9"/>
      <c r="F277" s="9"/>
      <c r="G277" s="9"/>
      <c r="H277" s="79"/>
      <c r="I277" s="21"/>
      <c r="J277" s="21"/>
      <c r="K277" s="21"/>
      <c r="L277" s="21"/>
      <c r="M277" s="21"/>
      <c r="N277" s="6"/>
    </row>
    <row r="278" spans="2:14" ht="15.75" x14ac:dyDescent="0.25">
      <c r="B278" s="7" t="s">
        <v>7</v>
      </c>
      <c r="C278" s="1">
        <v>1</v>
      </c>
      <c r="D278" s="1">
        <v>2</v>
      </c>
      <c r="E278" s="1">
        <v>3</v>
      </c>
      <c r="F278" s="1">
        <v>4</v>
      </c>
      <c r="G278" s="1">
        <v>5</v>
      </c>
      <c r="H278" s="77">
        <v>6</v>
      </c>
      <c r="I278" s="160" t="s">
        <v>153</v>
      </c>
      <c r="J278" s="220"/>
      <c r="K278" s="220"/>
      <c r="L278" s="220"/>
      <c r="M278" s="220"/>
      <c r="N278" s="221"/>
    </row>
    <row r="279" spans="2:14" ht="15.75" x14ac:dyDescent="0.25">
      <c r="B279" s="87" t="s">
        <v>10</v>
      </c>
      <c r="C279" s="19"/>
      <c r="D279" s="19"/>
      <c r="E279" s="19"/>
      <c r="F279" s="19"/>
      <c r="G279" s="19"/>
      <c r="H279" s="95"/>
      <c r="I279" s="222"/>
      <c r="J279" s="223"/>
      <c r="K279" s="223"/>
      <c r="L279" s="223"/>
      <c r="M279" s="223"/>
      <c r="N279" s="224"/>
    </row>
    <row r="280" spans="2:14" ht="16.5" thickBot="1" x14ac:dyDescent="0.3">
      <c r="B280" s="94" t="s">
        <v>12</v>
      </c>
      <c r="C280" s="93"/>
      <c r="D280" s="93"/>
      <c r="E280" s="93"/>
      <c r="F280" s="93"/>
      <c r="G280" s="93"/>
      <c r="H280" s="97"/>
      <c r="I280" s="225"/>
      <c r="J280" s="226"/>
      <c r="K280" s="226"/>
      <c r="L280" s="226"/>
      <c r="M280" s="226"/>
      <c r="N280" s="227"/>
    </row>
    <row r="282" spans="2:14" ht="15.75" thickBot="1" x14ac:dyDescent="0.3"/>
    <row r="283" spans="2:14" ht="15.75" x14ac:dyDescent="0.25">
      <c r="B283" s="2" t="s">
        <v>0</v>
      </c>
      <c r="C283" s="175" t="s">
        <v>59</v>
      </c>
      <c r="D283" s="176"/>
      <c r="E283" s="177" t="s">
        <v>1</v>
      </c>
      <c r="F283" s="178"/>
      <c r="G283" s="11">
        <v>120</v>
      </c>
      <c r="H283" s="179" t="s">
        <v>2</v>
      </c>
      <c r="I283" s="180"/>
      <c r="J283" s="181"/>
      <c r="K283" s="13">
        <v>120</v>
      </c>
      <c r="L283" s="3"/>
      <c r="M283" s="80" t="s">
        <v>11</v>
      </c>
      <c r="N283" s="98">
        <v>44794</v>
      </c>
    </row>
    <row r="284" spans="2:14" ht="15.75" x14ac:dyDescent="0.25">
      <c r="B284" s="4" t="s">
        <v>3</v>
      </c>
      <c r="C284" s="10">
        <v>13102</v>
      </c>
      <c r="D284" s="169" t="s">
        <v>57</v>
      </c>
      <c r="E284" s="170"/>
      <c r="F284" s="171"/>
      <c r="G284" s="18">
        <v>2858</v>
      </c>
      <c r="H284" s="172" t="s">
        <v>4</v>
      </c>
      <c r="I284" s="173"/>
      <c r="J284" s="174"/>
      <c r="K284" s="10">
        <v>39</v>
      </c>
      <c r="L284" s="15"/>
      <c r="M284" s="15"/>
      <c r="N284" s="16"/>
    </row>
    <row r="285" spans="2:14" ht="15.75" x14ac:dyDescent="0.25">
      <c r="B285" s="4" t="s">
        <v>5</v>
      </c>
      <c r="C285" s="19">
        <v>42</v>
      </c>
      <c r="D285" s="169" t="s">
        <v>8</v>
      </c>
      <c r="E285" s="170"/>
      <c r="F285" s="171"/>
      <c r="G285" s="17">
        <v>0.33</v>
      </c>
      <c r="H285" s="172" t="s">
        <v>9</v>
      </c>
      <c r="I285" s="173"/>
      <c r="J285" s="174"/>
      <c r="K285" s="12">
        <v>1.1100000000000001</v>
      </c>
      <c r="L285" s="172" t="s">
        <v>6</v>
      </c>
      <c r="M285" s="174"/>
      <c r="N285" s="20">
        <v>3.35</v>
      </c>
    </row>
    <row r="286" spans="2:14" ht="16.5" thickBot="1" x14ac:dyDescent="0.3">
      <c r="B286" s="5"/>
      <c r="C286" s="9"/>
      <c r="D286" s="9"/>
      <c r="E286" s="9"/>
      <c r="F286" s="9"/>
      <c r="G286" s="9"/>
      <c r="H286" s="79"/>
      <c r="I286" s="21"/>
      <c r="J286" s="21"/>
      <c r="K286" s="21"/>
      <c r="L286" s="21"/>
      <c r="M286" s="21"/>
      <c r="N286" s="6"/>
    </row>
    <row r="287" spans="2:14" ht="15.75" x14ac:dyDescent="0.25">
      <c r="B287" s="7" t="s">
        <v>7</v>
      </c>
      <c r="C287" s="1">
        <v>1</v>
      </c>
      <c r="D287" s="1">
        <v>2</v>
      </c>
      <c r="E287" s="1">
        <v>3</v>
      </c>
      <c r="F287" s="1">
        <v>4</v>
      </c>
      <c r="G287" s="1">
        <v>5</v>
      </c>
      <c r="H287" s="77">
        <v>6</v>
      </c>
      <c r="I287" s="160" t="s">
        <v>157</v>
      </c>
      <c r="J287" s="220"/>
      <c r="K287" s="220"/>
      <c r="L287" s="220"/>
      <c r="M287" s="220"/>
      <c r="N287" s="221"/>
    </row>
    <row r="288" spans="2:14" ht="15.75" x14ac:dyDescent="0.25">
      <c r="B288" s="87" t="s">
        <v>10</v>
      </c>
      <c r="C288" s="19">
        <v>62</v>
      </c>
      <c r="D288" s="19">
        <v>68</v>
      </c>
      <c r="E288" s="19">
        <v>69</v>
      </c>
      <c r="F288" s="19">
        <v>64</v>
      </c>
      <c r="G288" s="19">
        <v>61</v>
      </c>
      <c r="H288" s="95">
        <v>62</v>
      </c>
      <c r="I288" s="222"/>
      <c r="J288" s="223"/>
      <c r="K288" s="223"/>
      <c r="L288" s="223"/>
      <c r="M288" s="223"/>
      <c r="N288" s="224"/>
    </row>
    <row r="289" spans="2:14" ht="16.5" thickBot="1" x14ac:dyDescent="0.3">
      <c r="B289" s="94" t="s">
        <v>12</v>
      </c>
      <c r="C289" s="93">
        <v>81</v>
      </c>
      <c r="D289" s="93">
        <v>78</v>
      </c>
      <c r="E289" s="93">
        <v>72</v>
      </c>
      <c r="F289" s="93">
        <v>74</v>
      </c>
      <c r="G289" s="93">
        <v>74</v>
      </c>
      <c r="H289" s="97">
        <v>78</v>
      </c>
      <c r="I289" s="225"/>
      <c r="J289" s="226"/>
      <c r="K289" s="226"/>
      <c r="L289" s="226"/>
      <c r="M289" s="226"/>
      <c r="N289" s="227"/>
    </row>
    <row r="291" spans="2:14" ht="15.75" thickBot="1" x14ac:dyDescent="0.3"/>
    <row r="292" spans="2:14" ht="15.75" x14ac:dyDescent="0.25">
      <c r="B292" s="2" t="s">
        <v>0</v>
      </c>
      <c r="C292" s="175" t="s">
        <v>59</v>
      </c>
      <c r="D292" s="176"/>
      <c r="E292" s="177" t="s">
        <v>1</v>
      </c>
      <c r="F292" s="178"/>
      <c r="G292" s="11">
        <v>120</v>
      </c>
      <c r="H292" s="179" t="s">
        <v>2</v>
      </c>
      <c r="I292" s="180"/>
      <c r="J292" s="181"/>
      <c r="K292" s="13">
        <v>120</v>
      </c>
      <c r="L292" s="3"/>
      <c r="M292" s="80" t="s">
        <v>11</v>
      </c>
      <c r="N292" s="98">
        <v>44801</v>
      </c>
    </row>
    <row r="293" spans="2:14" ht="15.75" x14ac:dyDescent="0.25">
      <c r="B293" s="4" t="s">
        <v>3</v>
      </c>
      <c r="C293" s="10">
        <v>13258</v>
      </c>
      <c r="D293" s="169" t="s">
        <v>57</v>
      </c>
      <c r="E293" s="170"/>
      <c r="F293" s="171"/>
      <c r="G293" s="18">
        <v>648</v>
      </c>
      <c r="H293" s="172" t="s">
        <v>4</v>
      </c>
      <c r="I293" s="173"/>
      <c r="J293" s="174"/>
      <c r="K293" s="10">
        <v>27</v>
      </c>
      <c r="L293" s="15"/>
      <c r="M293" s="15"/>
      <c r="N293" s="16"/>
    </row>
    <row r="294" spans="2:14" ht="15.75" x14ac:dyDescent="0.25">
      <c r="B294" s="4" t="s">
        <v>5</v>
      </c>
      <c r="C294" s="19">
        <v>11</v>
      </c>
      <c r="D294" s="169" t="s">
        <v>8</v>
      </c>
      <c r="E294" s="170"/>
      <c r="F294" s="171"/>
      <c r="G294" s="17">
        <v>0.33</v>
      </c>
      <c r="H294" s="172" t="s">
        <v>9</v>
      </c>
      <c r="I294" s="173"/>
      <c r="J294" s="174"/>
      <c r="K294" s="12">
        <v>1.1200000000000001</v>
      </c>
      <c r="L294" s="172" t="s">
        <v>6</v>
      </c>
      <c r="M294" s="174"/>
      <c r="N294" s="20">
        <v>3.38</v>
      </c>
    </row>
    <row r="295" spans="2:14" ht="16.5" thickBot="1" x14ac:dyDescent="0.3">
      <c r="B295" s="5"/>
      <c r="C295" s="9"/>
      <c r="D295" s="9"/>
      <c r="E295" s="9"/>
      <c r="F295" s="9"/>
      <c r="G295" s="9"/>
      <c r="H295" s="79"/>
      <c r="I295" s="21"/>
      <c r="J295" s="21"/>
      <c r="K295" s="21"/>
      <c r="L295" s="21"/>
      <c r="M295" s="21"/>
      <c r="N295" s="6"/>
    </row>
    <row r="296" spans="2:14" ht="15.75" x14ac:dyDescent="0.25">
      <c r="B296" s="7" t="s">
        <v>7</v>
      </c>
      <c r="C296" s="1">
        <v>1</v>
      </c>
      <c r="D296" s="1">
        <v>2</v>
      </c>
      <c r="E296" s="1">
        <v>3</v>
      </c>
      <c r="F296" s="1">
        <v>4</v>
      </c>
      <c r="G296" s="1">
        <v>5</v>
      </c>
      <c r="H296" s="77">
        <v>6</v>
      </c>
      <c r="I296" s="160" t="s">
        <v>158</v>
      </c>
      <c r="J296" s="220"/>
      <c r="K296" s="220"/>
      <c r="L296" s="220"/>
      <c r="M296" s="220"/>
      <c r="N296" s="221"/>
    </row>
    <row r="297" spans="2:14" ht="15.75" x14ac:dyDescent="0.25">
      <c r="B297" s="87" t="s">
        <v>10</v>
      </c>
      <c r="C297" s="19">
        <v>72</v>
      </c>
      <c r="D297" s="19">
        <v>62</v>
      </c>
      <c r="E297" s="19">
        <v>66</v>
      </c>
      <c r="F297" s="19">
        <v>71</v>
      </c>
      <c r="G297" s="19">
        <v>62</v>
      </c>
      <c r="H297" s="95">
        <v>72</v>
      </c>
      <c r="I297" s="222"/>
      <c r="J297" s="223"/>
      <c r="K297" s="223"/>
      <c r="L297" s="223"/>
      <c r="M297" s="223"/>
      <c r="N297" s="224"/>
    </row>
    <row r="298" spans="2:14" ht="16.5" thickBot="1" x14ac:dyDescent="0.3">
      <c r="B298" s="94" t="s">
        <v>12</v>
      </c>
      <c r="C298" s="93">
        <v>64</v>
      </c>
      <c r="D298" s="93">
        <v>59</v>
      </c>
      <c r="E298" s="93">
        <v>58</v>
      </c>
      <c r="F298" s="93">
        <v>62</v>
      </c>
      <c r="G298" s="93">
        <v>59</v>
      </c>
      <c r="H298" s="97">
        <v>64</v>
      </c>
      <c r="I298" s="225"/>
      <c r="J298" s="226"/>
      <c r="K298" s="226"/>
      <c r="L298" s="226"/>
      <c r="M298" s="226"/>
      <c r="N298" s="227"/>
    </row>
    <row r="300" spans="2:14" ht="15.75" thickBot="1" x14ac:dyDescent="0.3"/>
    <row r="301" spans="2:14" ht="15.75" x14ac:dyDescent="0.25">
      <c r="B301" s="2" t="s">
        <v>0</v>
      </c>
      <c r="C301" s="175" t="s">
        <v>59</v>
      </c>
      <c r="D301" s="176"/>
      <c r="E301" s="177" t="s">
        <v>1</v>
      </c>
      <c r="F301" s="178"/>
      <c r="G301" s="11">
        <v>120</v>
      </c>
      <c r="H301" s="179" t="s">
        <v>2</v>
      </c>
      <c r="I301" s="180"/>
      <c r="J301" s="181"/>
      <c r="K301" s="13">
        <v>120</v>
      </c>
      <c r="L301" s="3"/>
      <c r="M301" s="80" t="s">
        <v>11</v>
      </c>
      <c r="N301" s="98">
        <v>44807</v>
      </c>
    </row>
    <row r="302" spans="2:14" ht="15.75" x14ac:dyDescent="0.25">
      <c r="B302" s="4" t="s">
        <v>3</v>
      </c>
      <c r="C302" s="10">
        <v>13408</v>
      </c>
      <c r="D302" s="169" t="s">
        <v>57</v>
      </c>
      <c r="E302" s="170"/>
      <c r="F302" s="171"/>
      <c r="G302" s="18">
        <v>916</v>
      </c>
      <c r="H302" s="172" t="s">
        <v>4</v>
      </c>
      <c r="I302" s="173"/>
      <c r="J302" s="174"/>
      <c r="K302" s="10">
        <v>28</v>
      </c>
      <c r="L302" s="15"/>
      <c r="M302" s="15"/>
      <c r="N302" s="16"/>
    </row>
    <row r="303" spans="2:14" ht="15.75" x14ac:dyDescent="0.25">
      <c r="B303" s="4" t="s">
        <v>5</v>
      </c>
      <c r="C303" s="19">
        <v>12</v>
      </c>
      <c r="D303" s="169" t="s">
        <v>8</v>
      </c>
      <c r="E303" s="170"/>
      <c r="F303" s="171"/>
      <c r="G303" s="17">
        <v>0.33</v>
      </c>
      <c r="H303" s="172" t="s">
        <v>9</v>
      </c>
      <c r="I303" s="173"/>
      <c r="J303" s="174"/>
      <c r="K303" s="12">
        <v>1.1200000000000001</v>
      </c>
      <c r="L303" s="172" t="s">
        <v>6</v>
      </c>
      <c r="M303" s="174"/>
      <c r="N303" s="20">
        <v>3.38</v>
      </c>
    </row>
    <row r="304" spans="2:14" ht="16.5" thickBot="1" x14ac:dyDescent="0.3">
      <c r="B304" s="5"/>
      <c r="C304" s="9"/>
      <c r="D304" s="9"/>
      <c r="E304" s="9"/>
      <c r="F304" s="9"/>
      <c r="G304" s="9"/>
      <c r="H304" s="79"/>
      <c r="I304" s="21"/>
      <c r="J304" s="21"/>
      <c r="K304" s="21"/>
      <c r="L304" s="21"/>
      <c r="M304" s="21"/>
      <c r="N304" s="6"/>
    </row>
    <row r="305" spans="2:14" ht="15.75" x14ac:dyDescent="0.25">
      <c r="B305" s="7" t="s">
        <v>7</v>
      </c>
      <c r="C305" s="1">
        <v>1</v>
      </c>
      <c r="D305" s="1">
        <v>2</v>
      </c>
      <c r="E305" s="1">
        <v>3</v>
      </c>
      <c r="F305" s="1">
        <v>4</v>
      </c>
      <c r="G305" s="1">
        <v>5</v>
      </c>
      <c r="H305" s="77">
        <v>6</v>
      </c>
      <c r="I305" s="160" t="s">
        <v>160</v>
      </c>
      <c r="J305" s="220"/>
      <c r="K305" s="220"/>
      <c r="L305" s="220"/>
      <c r="M305" s="220"/>
      <c r="N305" s="221"/>
    </row>
    <row r="306" spans="2:14" ht="15.75" x14ac:dyDescent="0.25">
      <c r="B306" s="87" t="s">
        <v>10</v>
      </c>
      <c r="C306" s="19">
        <v>67</v>
      </c>
      <c r="D306" s="19">
        <v>71</v>
      </c>
      <c r="E306" s="19">
        <v>62</v>
      </c>
      <c r="F306" s="19">
        <v>71</v>
      </c>
      <c r="G306" s="19">
        <v>68</v>
      </c>
      <c r="H306" s="95">
        <v>69</v>
      </c>
      <c r="I306" s="222"/>
      <c r="J306" s="223"/>
      <c r="K306" s="223"/>
      <c r="L306" s="223"/>
      <c r="M306" s="223"/>
      <c r="N306" s="224"/>
    </row>
    <row r="307" spans="2:14" ht="16.5" thickBot="1" x14ac:dyDescent="0.3">
      <c r="B307" s="94" t="s">
        <v>12</v>
      </c>
      <c r="C307" s="93">
        <v>70</v>
      </c>
      <c r="D307" s="93">
        <v>63</v>
      </c>
      <c r="E307" s="93">
        <v>59</v>
      </c>
      <c r="F307" s="93">
        <v>72</v>
      </c>
      <c r="G307" s="93">
        <v>62</v>
      </c>
      <c r="H307" s="97">
        <v>72</v>
      </c>
      <c r="I307" s="225"/>
      <c r="J307" s="226"/>
      <c r="K307" s="226"/>
      <c r="L307" s="226"/>
      <c r="M307" s="226"/>
      <c r="N307" s="227"/>
    </row>
    <row r="309" spans="2:14" ht="15.75" thickBot="1" x14ac:dyDescent="0.3"/>
    <row r="310" spans="2:14" ht="15.75" x14ac:dyDescent="0.25">
      <c r="B310" s="2" t="s">
        <v>0</v>
      </c>
      <c r="C310" s="175" t="s">
        <v>59</v>
      </c>
      <c r="D310" s="176"/>
      <c r="E310" s="177" t="s">
        <v>1</v>
      </c>
      <c r="F310" s="178"/>
      <c r="G310" s="11">
        <v>120</v>
      </c>
      <c r="H310" s="179" t="s">
        <v>2</v>
      </c>
      <c r="I310" s="180"/>
      <c r="J310" s="181"/>
      <c r="K310" s="13">
        <v>120</v>
      </c>
      <c r="L310" s="3"/>
      <c r="M310" s="80" t="s">
        <v>11</v>
      </c>
      <c r="N310" s="98">
        <v>44814</v>
      </c>
    </row>
    <row r="311" spans="2:14" ht="15.75" x14ac:dyDescent="0.25">
      <c r="B311" s="4" t="s">
        <v>3</v>
      </c>
      <c r="C311" s="10">
        <v>13533</v>
      </c>
      <c r="D311" s="169" t="s">
        <v>57</v>
      </c>
      <c r="E311" s="170"/>
      <c r="F311" s="171"/>
      <c r="G311" s="18">
        <v>7712</v>
      </c>
      <c r="H311" s="172" t="s">
        <v>4</v>
      </c>
      <c r="I311" s="173"/>
      <c r="J311" s="174"/>
      <c r="K311" s="10">
        <v>59</v>
      </c>
      <c r="L311" s="15"/>
      <c r="M311" s="15"/>
      <c r="N311" s="16"/>
    </row>
    <row r="312" spans="2:14" ht="15.75" x14ac:dyDescent="0.25">
      <c r="B312" s="4" t="s">
        <v>5</v>
      </c>
      <c r="C312" s="19">
        <v>68</v>
      </c>
      <c r="D312" s="169" t="s">
        <v>8</v>
      </c>
      <c r="E312" s="170"/>
      <c r="F312" s="171"/>
      <c r="G312" s="17">
        <v>0.33</v>
      </c>
      <c r="H312" s="172" t="s">
        <v>9</v>
      </c>
      <c r="I312" s="173"/>
      <c r="J312" s="174"/>
      <c r="K312" s="12">
        <v>1.1200000000000001</v>
      </c>
      <c r="L312" s="172" t="s">
        <v>6</v>
      </c>
      <c r="M312" s="174"/>
      <c r="N312" s="20">
        <v>3.38</v>
      </c>
    </row>
    <row r="313" spans="2:14" ht="16.5" thickBot="1" x14ac:dyDescent="0.3">
      <c r="B313" s="5"/>
      <c r="C313" s="9"/>
      <c r="D313" s="9"/>
      <c r="E313" s="9"/>
      <c r="F313" s="9"/>
      <c r="G313" s="9"/>
      <c r="H313" s="79"/>
      <c r="I313" s="21"/>
      <c r="J313" s="21"/>
      <c r="K313" s="21"/>
      <c r="L313" s="21"/>
      <c r="M313" s="21"/>
      <c r="N313" s="6"/>
    </row>
    <row r="314" spans="2:14" ht="15.75" x14ac:dyDescent="0.25">
      <c r="B314" s="7" t="s">
        <v>7</v>
      </c>
      <c r="C314" s="1">
        <v>1</v>
      </c>
      <c r="D314" s="1">
        <v>2</v>
      </c>
      <c r="E314" s="1">
        <v>3</v>
      </c>
      <c r="F314" s="1">
        <v>4</v>
      </c>
      <c r="G314" s="1">
        <v>5</v>
      </c>
      <c r="H314" s="77">
        <v>6</v>
      </c>
      <c r="I314" s="160" t="s">
        <v>159</v>
      </c>
      <c r="J314" s="220"/>
      <c r="K314" s="220"/>
      <c r="L314" s="220"/>
      <c r="M314" s="220"/>
      <c r="N314" s="221"/>
    </row>
    <row r="315" spans="2:14" ht="15.75" x14ac:dyDescent="0.25">
      <c r="B315" s="87" t="s">
        <v>10</v>
      </c>
      <c r="C315" s="19">
        <v>52</v>
      </c>
      <c r="D315" s="19">
        <v>48</v>
      </c>
      <c r="E315" s="19">
        <v>52</v>
      </c>
      <c r="F315" s="19">
        <v>48</v>
      </c>
      <c r="G315" s="19">
        <v>53</v>
      </c>
      <c r="H315" s="95">
        <v>55</v>
      </c>
      <c r="I315" s="222"/>
      <c r="J315" s="223"/>
      <c r="K315" s="223"/>
      <c r="L315" s="223"/>
      <c r="M315" s="223"/>
      <c r="N315" s="224"/>
    </row>
    <row r="316" spans="2:14" ht="16.5" thickBot="1" x14ac:dyDescent="0.3">
      <c r="B316" s="94" t="s">
        <v>12</v>
      </c>
      <c r="C316" s="93">
        <v>89</v>
      </c>
      <c r="D316" s="93">
        <v>81</v>
      </c>
      <c r="E316" s="93">
        <v>87</v>
      </c>
      <c r="F316" s="93">
        <v>93</v>
      </c>
      <c r="G316" s="93">
        <v>83</v>
      </c>
      <c r="H316" s="97">
        <v>92</v>
      </c>
      <c r="I316" s="225"/>
      <c r="J316" s="226"/>
      <c r="K316" s="226"/>
      <c r="L316" s="226"/>
      <c r="M316" s="226"/>
      <c r="N316" s="227"/>
    </row>
    <row r="318" spans="2:14" ht="15.75" thickBot="1" x14ac:dyDescent="0.3"/>
    <row r="319" spans="2:14" ht="15.75" x14ac:dyDescent="0.25">
      <c r="B319" s="2" t="s">
        <v>0</v>
      </c>
      <c r="C319" s="175" t="s">
        <v>59</v>
      </c>
      <c r="D319" s="176"/>
      <c r="E319" s="177" t="s">
        <v>1</v>
      </c>
      <c r="F319" s="178"/>
      <c r="G319" s="11">
        <v>120</v>
      </c>
      <c r="H319" s="179" t="s">
        <v>2</v>
      </c>
      <c r="I319" s="180"/>
      <c r="J319" s="181"/>
      <c r="K319" s="13">
        <v>120</v>
      </c>
      <c r="L319" s="3"/>
      <c r="M319" s="80" t="s">
        <v>11</v>
      </c>
      <c r="N319" s="98">
        <v>44821</v>
      </c>
    </row>
    <row r="320" spans="2:14" ht="15.75" x14ac:dyDescent="0.25">
      <c r="B320" s="4" t="s">
        <v>3</v>
      </c>
      <c r="C320" s="10">
        <v>13700</v>
      </c>
      <c r="D320" s="169" t="s">
        <v>57</v>
      </c>
      <c r="E320" s="170"/>
      <c r="F320" s="171"/>
      <c r="G320" s="18">
        <v>7448</v>
      </c>
      <c r="H320" s="172" t="s">
        <v>4</v>
      </c>
      <c r="I320" s="173"/>
      <c r="J320" s="174"/>
      <c r="K320" s="10">
        <v>58</v>
      </c>
      <c r="L320" s="15"/>
      <c r="M320" s="15"/>
      <c r="N320" s="16"/>
    </row>
    <row r="321" spans="2:14" ht="15.75" x14ac:dyDescent="0.25">
      <c r="B321" s="4" t="s">
        <v>5</v>
      </c>
      <c r="C321" s="19">
        <v>52</v>
      </c>
      <c r="D321" s="169" t="s">
        <v>8</v>
      </c>
      <c r="E321" s="170"/>
      <c r="F321" s="171"/>
      <c r="G321" s="17">
        <v>0.33</v>
      </c>
      <c r="H321" s="172" t="s">
        <v>9</v>
      </c>
      <c r="I321" s="173"/>
      <c r="J321" s="174"/>
      <c r="K321" s="12">
        <v>1.1200000000000001</v>
      </c>
      <c r="L321" s="172" t="s">
        <v>6</v>
      </c>
      <c r="M321" s="174"/>
      <c r="N321" s="20">
        <v>3.38</v>
      </c>
    </row>
    <row r="322" spans="2:14" ht="16.5" thickBot="1" x14ac:dyDescent="0.3">
      <c r="B322" s="5"/>
      <c r="C322" s="9"/>
      <c r="D322" s="9"/>
      <c r="E322" s="9"/>
      <c r="F322" s="9"/>
      <c r="G322" s="9"/>
      <c r="H322" s="79"/>
      <c r="I322" s="21"/>
      <c r="J322" s="21"/>
      <c r="K322" s="21"/>
      <c r="L322" s="21"/>
      <c r="M322" s="21"/>
      <c r="N322" s="6"/>
    </row>
    <row r="323" spans="2:14" ht="15.75" x14ac:dyDescent="0.25">
      <c r="B323" s="7" t="s">
        <v>7</v>
      </c>
      <c r="C323" s="1">
        <v>1</v>
      </c>
      <c r="D323" s="1">
        <v>2</v>
      </c>
      <c r="E323" s="1">
        <v>3</v>
      </c>
      <c r="F323" s="1">
        <v>4</v>
      </c>
      <c r="G323" s="1">
        <v>5</v>
      </c>
      <c r="H323" s="77">
        <v>6</v>
      </c>
      <c r="I323" s="160" t="s">
        <v>161</v>
      </c>
      <c r="J323" s="220"/>
      <c r="K323" s="220"/>
      <c r="L323" s="220"/>
      <c r="M323" s="220"/>
      <c r="N323" s="221"/>
    </row>
    <row r="324" spans="2:14" ht="15.75" x14ac:dyDescent="0.25">
      <c r="B324" s="87" t="s">
        <v>10</v>
      </c>
      <c r="C324" s="19">
        <v>49</v>
      </c>
      <c r="D324" s="19">
        <v>56</v>
      </c>
      <c r="E324" s="19">
        <v>55</v>
      </c>
      <c r="F324" s="19">
        <v>49</v>
      </c>
      <c r="G324" s="19">
        <v>56</v>
      </c>
      <c r="H324" s="95">
        <v>55</v>
      </c>
      <c r="I324" s="222"/>
      <c r="J324" s="223"/>
      <c r="K324" s="223"/>
      <c r="L324" s="223"/>
      <c r="M324" s="223"/>
      <c r="N324" s="224"/>
    </row>
    <row r="325" spans="2:14" ht="16.5" thickBot="1" x14ac:dyDescent="0.3">
      <c r="B325" s="94" t="s">
        <v>12</v>
      </c>
      <c r="C325" s="93">
        <v>93</v>
      </c>
      <c r="D325" s="93">
        <v>82</v>
      </c>
      <c r="E325" s="93">
        <v>85</v>
      </c>
      <c r="F325" s="93">
        <v>97</v>
      </c>
      <c r="G325" s="93">
        <v>81</v>
      </c>
      <c r="H325" s="97">
        <v>94</v>
      </c>
      <c r="I325" s="225"/>
      <c r="J325" s="226"/>
      <c r="K325" s="226"/>
      <c r="L325" s="226"/>
      <c r="M325" s="226"/>
      <c r="N325" s="227"/>
    </row>
    <row r="327" spans="2:14" ht="15.75" thickBot="1" x14ac:dyDescent="0.3"/>
    <row r="328" spans="2:14" ht="15.75" x14ac:dyDescent="0.25">
      <c r="B328" s="2" t="s">
        <v>0</v>
      </c>
      <c r="C328" s="175" t="s">
        <v>59</v>
      </c>
      <c r="D328" s="176"/>
      <c r="E328" s="177" t="s">
        <v>1</v>
      </c>
      <c r="F328" s="178"/>
      <c r="G328" s="11">
        <v>120</v>
      </c>
      <c r="H328" s="179" t="s">
        <v>2</v>
      </c>
      <c r="I328" s="180"/>
      <c r="J328" s="181"/>
      <c r="K328" s="13">
        <v>120</v>
      </c>
      <c r="L328" s="3"/>
      <c r="M328" s="80" t="s">
        <v>11</v>
      </c>
      <c r="N328" s="98">
        <v>44828</v>
      </c>
    </row>
    <row r="329" spans="2:14" ht="15.75" x14ac:dyDescent="0.25">
      <c r="B329" s="4" t="s">
        <v>3</v>
      </c>
      <c r="C329" s="10"/>
      <c r="D329" s="169" t="s">
        <v>57</v>
      </c>
      <c r="E329" s="170"/>
      <c r="F329" s="171"/>
      <c r="G329" s="18"/>
      <c r="H329" s="172" t="s">
        <v>4</v>
      </c>
      <c r="I329" s="173"/>
      <c r="J329" s="174"/>
      <c r="K329" s="10"/>
      <c r="L329" s="15"/>
      <c r="M329" s="15"/>
      <c r="N329" s="16"/>
    </row>
    <row r="330" spans="2:14" ht="15.75" x14ac:dyDescent="0.25">
      <c r="B330" s="4" t="s">
        <v>5</v>
      </c>
      <c r="C330" s="19"/>
      <c r="D330" s="169" t="s">
        <v>8</v>
      </c>
      <c r="E330" s="170"/>
      <c r="F330" s="171"/>
      <c r="G330" s="17">
        <v>0.33</v>
      </c>
      <c r="H330" s="172" t="s">
        <v>9</v>
      </c>
      <c r="I330" s="173"/>
      <c r="J330" s="174"/>
      <c r="K330" s="12">
        <v>1.1200000000000001</v>
      </c>
      <c r="L330" s="172" t="s">
        <v>6</v>
      </c>
      <c r="M330" s="174"/>
      <c r="N330" s="20">
        <v>3.38</v>
      </c>
    </row>
    <row r="331" spans="2:14" ht="16.5" thickBot="1" x14ac:dyDescent="0.3">
      <c r="B331" s="5"/>
      <c r="C331" s="9"/>
      <c r="D331" s="9"/>
      <c r="E331" s="9"/>
      <c r="F331" s="9"/>
      <c r="G331" s="9"/>
      <c r="H331" s="79"/>
      <c r="I331" s="21"/>
      <c r="J331" s="21"/>
      <c r="K331" s="21"/>
      <c r="L331" s="21"/>
      <c r="M331" s="21"/>
      <c r="N331" s="6"/>
    </row>
    <row r="332" spans="2:14" ht="15.75" x14ac:dyDescent="0.25">
      <c r="B332" s="7" t="s">
        <v>7</v>
      </c>
      <c r="C332" s="1">
        <v>1</v>
      </c>
      <c r="D332" s="1">
        <v>2</v>
      </c>
      <c r="E332" s="1">
        <v>3</v>
      </c>
      <c r="F332" s="1">
        <v>4</v>
      </c>
      <c r="G332" s="1">
        <v>5</v>
      </c>
      <c r="H332" s="77">
        <v>6</v>
      </c>
      <c r="I332" s="160" t="s">
        <v>162</v>
      </c>
      <c r="J332" s="220"/>
      <c r="K332" s="220"/>
      <c r="L332" s="220"/>
      <c r="M332" s="220"/>
      <c r="N332" s="221"/>
    </row>
    <row r="333" spans="2:14" ht="15.75" x14ac:dyDescent="0.25">
      <c r="B333" s="87" t="s">
        <v>10</v>
      </c>
      <c r="C333" s="19"/>
      <c r="D333" s="19"/>
      <c r="E333" s="19"/>
      <c r="F333" s="19"/>
      <c r="G333" s="19"/>
      <c r="H333" s="95"/>
      <c r="I333" s="222"/>
      <c r="J333" s="223"/>
      <c r="K333" s="223"/>
      <c r="L333" s="223"/>
      <c r="M333" s="223"/>
      <c r="N333" s="224"/>
    </row>
    <row r="334" spans="2:14" ht="16.5" thickBot="1" x14ac:dyDescent="0.3">
      <c r="B334" s="94" t="s">
        <v>12</v>
      </c>
      <c r="C334" s="93"/>
      <c r="D334" s="93"/>
      <c r="E334" s="93"/>
      <c r="F334" s="93"/>
      <c r="G334" s="93"/>
      <c r="H334" s="97"/>
      <c r="I334" s="225"/>
      <c r="J334" s="226"/>
      <c r="K334" s="226"/>
      <c r="L334" s="226"/>
      <c r="M334" s="226"/>
      <c r="N334" s="227"/>
    </row>
    <row r="336" spans="2:14" ht="15.75" thickBot="1" x14ac:dyDescent="0.3"/>
    <row r="337" spans="2:14" ht="15.75" x14ac:dyDescent="0.25">
      <c r="B337" s="2" t="s">
        <v>0</v>
      </c>
      <c r="C337" s="175" t="s">
        <v>59</v>
      </c>
      <c r="D337" s="176"/>
      <c r="E337" s="177" t="s">
        <v>1</v>
      </c>
      <c r="F337" s="178"/>
      <c r="G337" s="11">
        <v>120</v>
      </c>
      <c r="H337" s="179" t="s">
        <v>2</v>
      </c>
      <c r="I337" s="180"/>
      <c r="J337" s="181"/>
      <c r="K337" s="13">
        <v>120</v>
      </c>
      <c r="L337" s="3"/>
      <c r="M337" s="80" t="s">
        <v>11</v>
      </c>
      <c r="N337" s="98">
        <v>44836</v>
      </c>
    </row>
    <row r="338" spans="2:14" ht="15.75" x14ac:dyDescent="0.25">
      <c r="B338" s="4" t="s">
        <v>3</v>
      </c>
      <c r="C338" s="10">
        <v>13930</v>
      </c>
      <c r="D338" s="169" t="s">
        <v>57</v>
      </c>
      <c r="E338" s="170"/>
      <c r="F338" s="171"/>
      <c r="G338" s="18"/>
      <c r="H338" s="172" t="s">
        <v>4</v>
      </c>
      <c r="I338" s="173"/>
      <c r="J338" s="174"/>
      <c r="K338" s="10"/>
      <c r="L338" s="15"/>
      <c r="M338" s="15"/>
      <c r="N338" s="16"/>
    </row>
    <row r="339" spans="2:14" ht="15.75" x14ac:dyDescent="0.25">
      <c r="B339" s="4" t="s">
        <v>5</v>
      </c>
      <c r="C339" s="19"/>
      <c r="D339" s="169" t="s">
        <v>8</v>
      </c>
      <c r="E339" s="170"/>
      <c r="F339" s="171"/>
      <c r="G339" s="17">
        <v>0.33</v>
      </c>
      <c r="H339" s="172" t="s">
        <v>9</v>
      </c>
      <c r="I339" s="173"/>
      <c r="J339" s="174"/>
      <c r="K339" s="12">
        <v>1.1200000000000001</v>
      </c>
      <c r="L339" s="172" t="s">
        <v>6</v>
      </c>
      <c r="M339" s="174"/>
      <c r="N339" s="20">
        <v>3.38</v>
      </c>
    </row>
    <row r="340" spans="2:14" ht="16.5" thickBot="1" x14ac:dyDescent="0.3">
      <c r="B340" s="5"/>
      <c r="C340" s="9"/>
      <c r="D340" s="9"/>
      <c r="E340" s="9"/>
      <c r="F340" s="9"/>
      <c r="G340" s="9"/>
      <c r="H340" s="79"/>
      <c r="I340" s="21"/>
      <c r="J340" s="21"/>
      <c r="K340" s="21"/>
      <c r="L340" s="21"/>
      <c r="M340" s="21"/>
      <c r="N340" s="6"/>
    </row>
    <row r="341" spans="2:14" ht="15.75" x14ac:dyDescent="0.25">
      <c r="B341" s="7" t="s">
        <v>7</v>
      </c>
      <c r="C341" s="1">
        <v>1</v>
      </c>
      <c r="D341" s="1">
        <v>2</v>
      </c>
      <c r="E341" s="1">
        <v>3</v>
      </c>
      <c r="F341" s="1">
        <v>4</v>
      </c>
      <c r="G341" s="1">
        <v>5</v>
      </c>
      <c r="H341" s="77">
        <v>6</v>
      </c>
      <c r="I341" s="160" t="s">
        <v>163</v>
      </c>
      <c r="J341" s="220"/>
      <c r="K341" s="220"/>
      <c r="L341" s="220"/>
      <c r="M341" s="220"/>
      <c r="N341" s="221"/>
    </row>
    <row r="342" spans="2:14" ht="15.75" x14ac:dyDescent="0.25">
      <c r="B342" s="87" t="s">
        <v>10</v>
      </c>
      <c r="C342" s="19"/>
      <c r="D342" s="19"/>
      <c r="E342" s="19"/>
      <c r="F342" s="19"/>
      <c r="G342" s="19"/>
      <c r="H342" s="95"/>
      <c r="I342" s="222"/>
      <c r="J342" s="223"/>
      <c r="K342" s="223"/>
      <c r="L342" s="223"/>
      <c r="M342" s="223"/>
      <c r="N342" s="224"/>
    </row>
    <row r="343" spans="2:14" ht="16.5" thickBot="1" x14ac:dyDescent="0.3">
      <c r="B343" s="94" t="s">
        <v>12</v>
      </c>
      <c r="C343" s="93"/>
      <c r="D343" s="93"/>
      <c r="E343" s="93"/>
      <c r="F343" s="93"/>
      <c r="G343" s="93"/>
      <c r="H343" s="97"/>
      <c r="I343" s="225"/>
      <c r="J343" s="226"/>
      <c r="K343" s="226"/>
      <c r="L343" s="226"/>
      <c r="M343" s="226"/>
      <c r="N343" s="227"/>
    </row>
    <row r="345" spans="2:14" ht="15.75" thickBot="1" x14ac:dyDescent="0.3"/>
    <row r="346" spans="2:14" ht="15.75" x14ac:dyDescent="0.25">
      <c r="B346" s="2" t="s">
        <v>0</v>
      </c>
      <c r="C346" s="175" t="s">
        <v>59</v>
      </c>
      <c r="D346" s="176"/>
      <c r="E346" s="177" t="s">
        <v>1</v>
      </c>
      <c r="F346" s="178"/>
      <c r="G346" s="11">
        <v>120</v>
      </c>
      <c r="H346" s="179" t="s">
        <v>2</v>
      </c>
      <c r="I346" s="180"/>
      <c r="J346" s="181"/>
      <c r="K346" s="13">
        <v>120</v>
      </c>
      <c r="L346" s="3"/>
      <c r="M346" s="80" t="s">
        <v>11</v>
      </c>
      <c r="N346" s="98">
        <v>44842</v>
      </c>
    </row>
    <row r="347" spans="2:14" ht="15.75" x14ac:dyDescent="0.25">
      <c r="B347" s="4" t="s">
        <v>3</v>
      </c>
      <c r="C347" s="10">
        <v>14026</v>
      </c>
      <c r="D347" s="169" t="s">
        <v>57</v>
      </c>
      <c r="E347" s="170"/>
      <c r="F347" s="171"/>
      <c r="G347" s="18">
        <v>2334</v>
      </c>
      <c r="H347" s="172" t="s">
        <v>4</v>
      </c>
      <c r="I347" s="173"/>
      <c r="J347" s="174"/>
      <c r="K347" s="10">
        <v>40</v>
      </c>
      <c r="L347" s="15"/>
      <c r="M347" s="15"/>
      <c r="N347" s="16"/>
    </row>
    <row r="348" spans="2:14" ht="15.75" x14ac:dyDescent="0.25">
      <c r="B348" s="4" t="s">
        <v>5</v>
      </c>
      <c r="C348" s="19">
        <v>33</v>
      </c>
      <c r="D348" s="169" t="s">
        <v>8</v>
      </c>
      <c r="E348" s="170"/>
      <c r="F348" s="171"/>
      <c r="G348" s="17">
        <v>0.33</v>
      </c>
      <c r="H348" s="172" t="s">
        <v>9</v>
      </c>
      <c r="I348" s="173"/>
      <c r="J348" s="174"/>
      <c r="K348" s="12">
        <v>1.1200000000000001</v>
      </c>
      <c r="L348" s="172" t="s">
        <v>6</v>
      </c>
      <c r="M348" s="174"/>
      <c r="N348" s="20">
        <v>3.4</v>
      </c>
    </row>
    <row r="349" spans="2:14" ht="16.5" thickBot="1" x14ac:dyDescent="0.3">
      <c r="B349" s="5"/>
      <c r="C349" s="9"/>
      <c r="D349" s="9"/>
      <c r="E349" s="9"/>
      <c r="F349" s="9"/>
      <c r="G349" s="9"/>
      <c r="H349" s="79"/>
      <c r="I349" s="21"/>
      <c r="J349" s="21"/>
      <c r="K349" s="21"/>
      <c r="L349" s="21"/>
      <c r="M349" s="21"/>
      <c r="N349" s="6"/>
    </row>
    <row r="350" spans="2:14" ht="15.75" x14ac:dyDescent="0.25">
      <c r="B350" s="7" t="s">
        <v>7</v>
      </c>
      <c r="C350" s="1">
        <v>1</v>
      </c>
      <c r="D350" s="1">
        <v>2</v>
      </c>
      <c r="E350" s="1">
        <v>3</v>
      </c>
      <c r="F350" s="1">
        <v>4</v>
      </c>
      <c r="G350" s="1">
        <v>5</v>
      </c>
      <c r="H350" s="77">
        <v>6</v>
      </c>
      <c r="I350" s="160" t="s">
        <v>164</v>
      </c>
      <c r="J350" s="220"/>
      <c r="K350" s="220"/>
      <c r="L350" s="220"/>
      <c r="M350" s="220"/>
      <c r="N350" s="221"/>
    </row>
    <row r="351" spans="2:14" ht="15.75" x14ac:dyDescent="0.25">
      <c r="B351" s="87" t="s">
        <v>10</v>
      </c>
      <c r="C351" s="19">
        <v>44</v>
      </c>
      <c r="D351" s="19">
        <v>43</v>
      </c>
      <c r="E351" s="19">
        <v>42</v>
      </c>
      <c r="F351" s="19">
        <v>43</v>
      </c>
      <c r="G351" s="19">
        <v>40</v>
      </c>
      <c r="H351" s="95">
        <v>44</v>
      </c>
      <c r="I351" s="222"/>
      <c r="J351" s="223"/>
      <c r="K351" s="223"/>
      <c r="L351" s="223"/>
      <c r="M351" s="223"/>
      <c r="N351" s="224"/>
    </row>
    <row r="352" spans="2:14" ht="16.5" thickBot="1" x14ac:dyDescent="0.3">
      <c r="B352" s="94" t="s">
        <v>12</v>
      </c>
      <c r="C352" s="93">
        <v>68</v>
      </c>
      <c r="D352" s="93">
        <v>61</v>
      </c>
      <c r="E352" s="93">
        <v>59</v>
      </c>
      <c r="F352" s="93">
        <v>67</v>
      </c>
      <c r="G352" s="93">
        <v>60</v>
      </c>
      <c r="H352" s="97">
        <v>64</v>
      </c>
      <c r="I352" s="225"/>
      <c r="J352" s="226"/>
      <c r="K352" s="226"/>
      <c r="L352" s="226"/>
      <c r="M352" s="226"/>
      <c r="N352" s="227"/>
    </row>
    <row r="354" spans="2:14" ht="15.75" thickBot="1" x14ac:dyDescent="0.3"/>
    <row r="355" spans="2:14" ht="15.75" x14ac:dyDescent="0.25">
      <c r="B355" s="2" t="s">
        <v>0</v>
      </c>
      <c r="C355" s="175" t="s">
        <v>59</v>
      </c>
      <c r="D355" s="176"/>
      <c r="E355" s="177" t="s">
        <v>1</v>
      </c>
      <c r="F355" s="178"/>
      <c r="G355" s="11">
        <v>120</v>
      </c>
      <c r="H355" s="179" t="s">
        <v>2</v>
      </c>
      <c r="I355" s="180"/>
      <c r="J355" s="181"/>
      <c r="K355" s="13">
        <v>120</v>
      </c>
      <c r="L355" s="3"/>
      <c r="M355" s="80" t="s">
        <v>11</v>
      </c>
      <c r="N355" s="98">
        <v>44849</v>
      </c>
    </row>
    <row r="356" spans="2:14" ht="15.75" x14ac:dyDescent="0.25">
      <c r="B356" s="4" t="s">
        <v>3</v>
      </c>
      <c r="C356" s="10">
        <v>14174</v>
      </c>
      <c r="D356" s="169" t="s">
        <v>57</v>
      </c>
      <c r="E356" s="170"/>
      <c r="F356" s="171"/>
      <c r="G356" s="18"/>
      <c r="H356" s="172" t="s">
        <v>4</v>
      </c>
      <c r="I356" s="173"/>
      <c r="J356" s="174"/>
      <c r="K356" s="10">
        <v>65</v>
      </c>
      <c r="L356" s="15"/>
      <c r="M356" s="15"/>
      <c r="N356" s="16"/>
    </row>
    <row r="357" spans="2:14" ht="15.75" x14ac:dyDescent="0.25">
      <c r="B357" s="4" t="s">
        <v>5</v>
      </c>
      <c r="C357" s="19"/>
      <c r="D357" s="169" t="s">
        <v>8</v>
      </c>
      <c r="E357" s="170"/>
      <c r="F357" s="171"/>
      <c r="G357" s="17">
        <v>0.33</v>
      </c>
      <c r="H357" s="172" t="s">
        <v>9</v>
      </c>
      <c r="I357" s="173"/>
      <c r="J357" s="174"/>
      <c r="K357" s="12">
        <v>1.1200000000000001</v>
      </c>
      <c r="L357" s="172" t="s">
        <v>6</v>
      </c>
      <c r="M357" s="174"/>
      <c r="N357" s="20">
        <v>3.4</v>
      </c>
    </row>
    <row r="358" spans="2:14" ht="16.5" thickBot="1" x14ac:dyDescent="0.3">
      <c r="B358" s="5"/>
      <c r="C358" s="9"/>
      <c r="D358" s="9"/>
      <c r="E358" s="9"/>
      <c r="F358" s="9"/>
      <c r="G358" s="9"/>
      <c r="H358" s="79"/>
      <c r="I358" s="21"/>
      <c r="J358" s="21"/>
      <c r="K358" s="21"/>
      <c r="L358" s="21"/>
      <c r="M358" s="21"/>
      <c r="N358" s="6"/>
    </row>
    <row r="359" spans="2:14" ht="15.75" x14ac:dyDescent="0.25">
      <c r="B359" s="7" t="s">
        <v>7</v>
      </c>
      <c r="C359" s="1">
        <v>1</v>
      </c>
      <c r="D359" s="1">
        <v>2</v>
      </c>
      <c r="E359" s="1">
        <v>3</v>
      </c>
      <c r="F359" s="1">
        <v>4</v>
      </c>
      <c r="G359" s="1">
        <v>5</v>
      </c>
      <c r="H359" s="77">
        <v>6</v>
      </c>
      <c r="I359" s="160" t="s">
        <v>165</v>
      </c>
      <c r="J359" s="220"/>
      <c r="K359" s="220"/>
      <c r="L359" s="220"/>
      <c r="M359" s="220"/>
      <c r="N359" s="221"/>
    </row>
    <row r="360" spans="2:14" ht="15.75" x14ac:dyDescent="0.25">
      <c r="B360" s="87" t="s">
        <v>10</v>
      </c>
      <c r="C360" s="19">
        <v>58</v>
      </c>
      <c r="D360" s="19">
        <v>54</v>
      </c>
      <c r="E360" s="19">
        <v>55</v>
      </c>
      <c r="F360" s="19">
        <v>61</v>
      </c>
      <c r="G360" s="19">
        <v>59</v>
      </c>
      <c r="H360" s="95">
        <v>58</v>
      </c>
      <c r="I360" s="222"/>
      <c r="J360" s="223"/>
      <c r="K360" s="223"/>
      <c r="L360" s="223"/>
      <c r="M360" s="223"/>
      <c r="N360" s="224"/>
    </row>
    <row r="361" spans="2:14" ht="16.5" thickBot="1" x14ac:dyDescent="0.3">
      <c r="B361" s="94" t="s">
        <v>12</v>
      </c>
      <c r="C361" s="93">
        <v>60</v>
      </c>
      <c r="D361" s="93">
        <v>61</v>
      </c>
      <c r="E361" s="93">
        <v>64</v>
      </c>
      <c r="F361" s="93">
        <v>58</v>
      </c>
      <c r="G361" s="93">
        <v>65</v>
      </c>
      <c r="H361" s="97">
        <v>52</v>
      </c>
      <c r="I361" s="225"/>
      <c r="J361" s="226"/>
      <c r="K361" s="226"/>
      <c r="L361" s="226"/>
      <c r="M361" s="226"/>
      <c r="N361" s="227"/>
    </row>
    <row r="363" spans="2:14" ht="15.75" thickBot="1" x14ac:dyDescent="0.3"/>
    <row r="364" spans="2:14" ht="15.75" x14ac:dyDescent="0.25">
      <c r="B364" s="2" t="s">
        <v>0</v>
      </c>
      <c r="C364" s="175" t="s">
        <v>59</v>
      </c>
      <c r="D364" s="176"/>
      <c r="E364" s="177" t="s">
        <v>1</v>
      </c>
      <c r="F364" s="178"/>
      <c r="G364" s="11">
        <v>140</v>
      </c>
      <c r="H364" s="179" t="s">
        <v>2</v>
      </c>
      <c r="I364" s="180"/>
      <c r="J364" s="181"/>
      <c r="K364" s="11">
        <v>140</v>
      </c>
      <c r="L364" s="3"/>
      <c r="M364" s="80" t="s">
        <v>11</v>
      </c>
      <c r="N364" s="98">
        <v>44853</v>
      </c>
    </row>
    <row r="365" spans="2:14" ht="15.75" x14ac:dyDescent="0.25">
      <c r="B365" s="4" t="s">
        <v>3</v>
      </c>
      <c r="C365" s="10">
        <v>14272</v>
      </c>
      <c r="D365" s="169" t="s">
        <v>57</v>
      </c>
      <c r="E365" s="170"/>
      <c r="F365" s="171"/>
      <c r="G365" s="18"/>
      <c r="H365" s="172" t="s">
        <v>4</v>
      </c>
      <c r="I365" s="173"/>
      <c r="J365" s="174"/>
      <c r="K365" s="10">
        <v>55</v>
      </c>
      <c r="L365" s="15"/>
      <c r="M365" s="15"/>
      <c r="N365" s="16"/>
    </row>
    <row r="366" spans="2:14" ht="15.75" x14ac:dyDescent="0.25">
      <c r="B366" s="4" t="s">
        <v>5</v>
      </c>
      <c r="C366" s="19">
        <v>58</v>
      </c>
      <c r="D366" s="169" t="s">
        <v>8</v>
      </c>
      <c r="E366" s="170"/>
      <c r="F366" s="171"/>
      <c r="G366" s="17">
        <v>0.31</v>
      </c>
      <c r="H366" s="172" t="s">
        <v>9</v>
      </c>
      <c r="I366" s="173"/>
      <c r="J366" s="174"/>
      <c r="K366" s="12">
        <v>1.05</v>
      </c>
      <c r="L366" s="172" t="s">
        <v>6</v>
      </c>
      <c r="M366" s="174"/>
      <c r="N366" s="20">
        <v>3.4</v>
      </c>
    </row>
    <row r="367" spans="2:14" ht="16.5" thickBot="1" x14ac:dyDescent="0.3">
      <c r="B367" s="5"/>
      <c r="C367" s="9"/>
      <c r="D367" s="9"/>
      <c r="E367" s="9"/>
      <c r="F367" s="9"/>
      <c r="G367" s="9"/>
      <c r="H367" s="79"/>
      <c r="I367" s="21"/>
      <c r="J367" s="21"/>
      <c r="K367" s="21"/>
      <c r="L367" s="21"/>
      <c r="M367" s="21"/>
      <c r="N367" s="6"/>
    </row>
    <row r="368" spans="2:14" ht="15.75" x14ac:dyDescent="0.25">
      <c r="B368" s="7" t="s">
        <v>7</v>
      </c>
      <c r="C368" s="1">
        <v>1</v>
      </c>
      <c r="D368" s="1">
        <v>2</v>
      </c>
      <c r="E368" s="1">
        <v>3</v>
      </c>
      <c r="F368" s="1">
        <v>4</v>
      </c>
      <c r="G368" s="1">
        <v>5</v>
      </c>
      <c r="H368" s="77">
        <v>6</v>
      </c>
      <c r="I368" s="160" t="s">
        <v>166</v>
      </c>
      <c r="J368" s="220"/>
      <c r="K368" s="220"/>
      <c r="L368" s="220"/>
      <c r="M368" s="220"/>
      <c r="N368" s="221"/>
    </row>
    <row r="369" spans="2:14" ht="15.75" x14ac:dyDescent="0.25">
      <c r="B369" s="87" t="s">
        <v>10</v>
      </c>
      <c r="C369" s="19">
        <v>52</v>
      </c>
      <c r="D369" s="19">
        <v>52</v>
      </c>
      <c r="E369" s="19">
        <v>50</v>
      </c>
      <c r="F369" s="19">
        <v>54</v>
      </c>
      <c r="G369" s="19">
        <v>55</v>
      </c>
      <c r="H369" s="95">
        <v>54</v>
      </c>
      <c r="I369" s="222"/>
      <c r="J369" s="223"/>
      <c r="K369" s="223"/>
      <c r="L369" s="223"/>
      <c r="M369" s="223"/>
      <c r="N369" s="224"/>
    </row>
    <row r="370" spans="2:14" ht="16.5" thickBot="1" x14ac:dyDescent="0.3">
      <c r="B370" s="94" t="s">
        <v>12</v>
      </c>
      <c r="C370" s="93">
        <v>55</v>
      </c>
      <c r="D370" s="93">
        <v>56</v>
      </c>
      <c r="E370" s="93">
        <v>58</v>
      </c>
      <c r="F370" s="93">
        <v>48</v>
      </c>
      <c r="G370" s="93">
        <v>45</v>
      </c>
      <c r="H370" s="97">
        <v>49</v>
      </c>
      <c r="I370" s="225"/>
      <c r="J370" s="226"/>
      <c r="K370" s="226"/>
      <c r="L370" s="226"/>
      <c r="M370" s="226"/>
      <c r="N370" s="227"/>
    </row>
    <row r="372" spans="2:14" ht="15.75" thickBot="1" x14ac:dyDescent="0.3"/>
    <row r="373" spans="2:14" ht="15.75" x14ac:dyDescent="0.25">
      <c r="B373" s="2" t="s">
        <v>0</v>
      </c>
      <c r="C373" s="175" t="s">
        <v>59</v>
      </c>
      <c r="D373" s="176"/>
      <c r="E373" s="177" t="s">
        <v>1</v>
      </c>
      <c r="F373" s="178"/>
      <c r="G373" s="11">
        <v>140</v>
      </c>
      <c r="H373" s="179" t="s">
        <v>2</v>
      </c>
      <c r="I373" s="180"/>
      <c r="J373" s="181"/>
      <c r="K373" s="11">
        <v>140</v>
      </c>
      <c r="L373" s="3"/>
      <c r="M373" s="80" t="s">
        <v>11</v>
      </c>
      <c r="N373" s="98">
        <v>44863</v>
      </c>
    </row>
    <row r="374" spans="2:14" ht="15.75" x14ac:dyDescent="0.25">
      <c r="B374" s="4" t="s">
        <v>3</v>
      </c>
      <c r="C374" s="10"/>
      <c r="D374" s="169" t="s">
        <v>57</v>
      </c>
      <c r="E374" s="170"/>
      <c r="F374" s="171"/>
      <c r="G374" s="18"/>
      <c r="H374" s="172" t="s">
        <v>4</v>
      </c>
      <c r="I374" s="173"/>
      <c r="J374" s="174"/>
      <c r="K374" s="10"/>
      <c r="L374" s="15"/>
      <c r="M374" s="15"/>
      <c r="N374" s="16"/>
    </row>
    <row r="375" spans="2:14" ht="15.75" x14ac:dyDescent="0.25">
      <c r="B375" s="4" t="s">
        <v>5</v>
      </c>
      <c r="C375" s="19"/>
      <c r="D375" s="169" t="s">
        <v>8</v>
      </c>
      <c r="E375" s="170"/>
      <c r="F375" s="171"/>
      <c r="G375" s="17">
        <v>0.31</v>
      </c>
      <c r="H375" s="172" t="s">
        <v>9</v>
      </c>
      <c r="I375" s="173"/>
      <c r="J375" s="174"/>
      <c r="K375" s="12">
        <v>1.05</v>
      </c>
      <c r="L375" s="172" t="s">
        <v>6</v>
      </c>
      <c r="M375" s="174"/>
      <c r="N375" s="20">
        <v>3.4</v>
      </c>
    </row>
    <row r="376" spans="2:14" ht="16.5" thickBot="1" x14ac:dyDescent="0.3">
      <c r="B376" s="5"/>
      <c r="C376" s="9"/>
      <c r="D376" s="9"/>
      <c r="E376" s="9"/>
      <c r="F376" s="9"/>
      <c r="G376" s="9"/>
      <c r="H376" s="79"/>
      <c r="I376" s="21"/>
      <c r="J376" s="21"/>
      <c r="K376" s="21"/>
      <c r="L376" s="21"/>
      <c r="M376" s="21"/>
      <c r="N376" s="6"/>
    </row>
    <row r="377" spans="2:14" ht="15.75" x14ac:dyDescent="0.25">
      <c r="B377" s="7" t="s">
        <v>7</v>
      </c>
      <c r="C377" s="1">
        <v>1</v>
      </c>
      <c r="D377" s="1">
        <v>2</v>
      </c>
      <c r="E377" s="1">
        <v>3</v>
      </c>
      <c r="F377" s="1">
        <v>4</v>
      </c>
      <c r="G377" s="1">
        <v>5</v>
      </c>
      <c r="H377" s="77">
        <v>6</v>
      </c>
      <c r="I377" s="160" t="s">
        <v>167</v>
      </c>
      <c r="J377" s="220"/>
      <c r="K377" s="220"/>
      <c r="L377" s="220"/>
      <c r="M377" s="220"/>
      <c r="N377" s="221"/>
    </row>
    <row r="378" spans="2:14" ht="15.75" x14ac:dyDescent="0.25">
      <c r="B378" s="87" t="s">
        <v>10</v>
      </c>
      <c r="C378" s="19"/>
      <c r="D378" s="19"/>
      <c r="E378" s="19"/>
      <c r="F378" s="19"/>
      <c r="G378" s="19"/>
      <c r="H378" s="95"/>
      <c r="I378" s="222"/>
      <c r="J378" s="223"/>
      <c r="K378" s="223"/>
      <c r="L378" s="223"/>
      <c r="M378" s="223"/>
      <c r="N378" s="224"/>
    </row>
    <row r="379" spans="2:14" ht="16.5" thickBot="1" x14ac:dyDescent="0.3">
      <c r="B379" s="94" t="s">
        <v>12</v>
      </c>
      <c r="C379" s="93"/>
      <c r="D379" s="93"/>
      <c r="E379" s="93"/>
      <c r="F379" s="93"/>
      <c r="G379" s="93"/>
      <c r="H379" s="97"/>
      <c r="I379" s="225"/>
      <c r="J379" s="226"/>
      <c r="K379" s="226"/>
      <c r="L379" s="226"/>
      <c r="M379" s="226"/>
      <c r="N379" s="227"/>
    </row>
    <row r="381" spans="2:14" ht="15.75" thickBot="1" x14ac:dyDescent="0.3"/>
    <row r="382" spans="2:14" ht="15.75" x14ac:dyDescent="0.25">
      <c r="B382" s="2" t="s">
        <v>0</v>
      </c>
      <c r="C382" s="175" t="s">
        <v>59</v>
      </c>
      <c r="D382" s="176"/>
      <c r="E382" s="177" t="s">
        <v>1</v>
      </c>
      <c r="F382" s="178"/>
      <c r="G382" s="11">
        <v>140</v>
      </c>
      <c r="H382" s="179" t="s">
        <v>2</v>
      </c>
      <c r="I382" s="180"/>
      <c r="J382" s="181"/>
      <c r="K382" s="13">
        <v>140</v>
      </c>
      <c r="L382" s="3"/>
      <c r="M382" s="80" t="s">
        <v>11</v>
      </c>
      <c r="N382" s="98">
        <v>44870</v>
      </c>
    </row>
    <row r="383" spans="2:14" ht="15.75" x14ac:dyDescent="0.25">
      <c r="B383" s="4" t="s">
        <v>3</v>
      </c>
      <c r="C383" s="10">
        <v>14437</v>
      </c>
      <c r="D383" s="169" t="s">
        <v>57</v>
      </c>
      <c r="E383" s="170"/>
      <c r="F383" s="171"/>
      <c r="G383" s="18">
        <v>7556</v>
      </c>
      <c r="H383" s="172" t="s">
        <v>4</v>
      </c>
      <c r="I383" s="173"/>
      <c r="J383" s="174"/>
      <c r="K383" s="10">
        <v>58</v>
      </c>
      <c r="L383" s="15"/>
      <c r="M383" s="15"/>
      <c r="N383" s="16"/>
    </row>
    <row r="384" spans="2:14" ht="15.75" x14ac:dyDescent="0.25">
      <c r="B384" s="4" t="s">
        <v>5</v>
      </c>
      <c r="C384" s="19">
        <v>69</v>
      </c>
      <c r="D384" s="169" t="s">
        <v>8</v>
      </c>
      <c r="E384" s="170"/>
      <c r="F384" s="171"/>
      <c r="G384" s="17">
        <v>0.3</v>
      </c>
      <c r="H384" s="172" t="s">
        <v>9</v>
      </c>
      <c r="I384" s="173"/>
      <c r="J384" s="174"/>
      <c r="K384" s="12">
        <v>1.02</v>
      </c>
      <c r="L384" s="172" t="s">
        <v>6</v>
      </c>
      <c r="M384" s="174"/>
      <c r="N384" s="20">
        <v>3.4</v>
      </c>
    </row>
    <row r="385" spans="2:14" ht="16.5" thickBot="1" x14ac:dyDescent="0.3">
      <c r="B385" s="5"/>
      <c r="C385" s="9"/>
      <c r="D385" s="9"/>
      <c r="E385" s="9"/>
      <c r="F385" s="9"/>
      <c r="G385" s="9"/>
      <c r="H385" s="79"/>
      <c r="I385" s="21"/>
      <c r="J385" s="21"/>
      <c r="K385" s="21"/>
      <c r="L385" s="21"/>
      <c r="M385" s="21"/>
      <c r="N385" s="6"/>
    </row>
    <row r="386" spans="2:14" ht="15.75" x14ac:dyDescent="0.25">
      <c r="B386" s="7" t="s">
        <v>7</v>
      </c>
      <c r="C386" s="1">
        <v>1</v>
      </c>
      <c r="D386" s="1">
        <v>2</v>
      </c>
      <c r="E386" s="1">
        <v>3</v>
      </c>
      <c r="F386" s="1">
        <v>4</v>
      </c>
      <c r="G386" s="1">
        <v>5</v>
      </c>
      <c r="H386" s="77">
        <v>6</v>
      </c>
      <c r="I386" s="160" t="s">
        <v>168</v>
      </c>
      <c r="J386" s="220"/>
      <c r="K386" s="220"/>
      <c r="L386" s="220"/>
      <c r="M386" s="220"/>
      <c r="N386" s="221"/>
    </row>
    <row r="387" spans="2:14" ht="15.75" x14ac:dyDescent="0.25">
      <c r="B387" s="87" t="s">
        <v>10</v>
      </c>
      <c r="C387" s="19">
        <v>49</v>
      </c>
      <c r="D387" s="19">
        <v>47</v>
      </c>
      <c r="E387" s="19">
        <v>48</v>
      </c>
      <c r="F387" s="19">
        <v>45</v>
      </c>
      <c r="G387" s="19">
        <v>46</v>
      </c>
      <c r="H387" s="95">
        <v>45</v>
      </c>
      <c r="I387" s="222"/>
      <c r="J387" s="223"/>
      <c r="K387" s="223"/>
      <c r="L387" s="223"/>
      <c r="M387" s="223"/>
      <c r="N387" s="224"/>
    </row>
    <row r="388" spans="2:14" ht="16.5" thickBot="1" x14ac:dyDescent="0.3">
      <c r="B388" s="94" t="s">
        <v>12</v>
      </c>
      <c r="C388" s="93">
        <v>80</v>
      </c>
      <c r="D388" s="93">
        <v>78</v>
      </c>
      <c r="E388" s="93">
        <v>84</v>
      </c>
      <c r="F388" s="93">
        <v>82</v>
      </c>
      <c r="G388" s="93">
        <v>86</v>
      </c>
      <c r="H388" s="97">
        <v>84</v>
      </c>
      <c r="I388" s="225"/>
      <c r="J388" s="226"/>
      <c r="K388" s="226"/>
      <c r="L388" s="226"/>
      <c r="M388" s="226"/>
      <c r="N388" s="227"/>
    </row>
    <row r="390" spans="2:14" ht="15.75" thickBot="1" x14ac:dyDescent="0.3"/>
    <row r="391" spans="2:14" ht="15.75" x14ac:dyDescent="0.25">
      <c r="B391" s="2" t="s">
        <v>0</v>
      </c>
      <c r="C391" s="175" t="s">
        <v>59</v>
      </c>
      <c r="D391" s="176"/>
      <c r="E391" s="177" t="s">
        <v>1</v>
      </c>
      <c r="F391" s="178"/>
      <c r="G391" s="11">
        <v>140</v>
      </c>
      <c r="H391" s="179" t="s">
        <v>2</v>
      </c>
      <c r="I391" s="180"/>
      <c r="J391" s="181"/>
      <c r="K391" s="13">
        <v>140</v>
      </c>
      <c r="L391" s="3"/>
      <c r="M391" s="80" t="s">
        <v>11</v>
      </c>
      <c r="N391" s="98">
        <v>44877</v>
      </c>
    </row>
    <row r="392" spans="2:14" ht="15.75" x14ac:dyDescent="0.25">
      <c r="B392" s="4" t="s">
        <v>3</v>
      </c>
      <c r="C392" s="10">
        <v>14602</v>
      </c>
      <c r="D392" s="169" t="s">
        <v>57</v>
      </c>
      <c r="E392" s="170"/>
      <c r="F392" s="171"/>
      <c r="G392" s="18">
        <v>6946</v>
      </c>
      <c r="H392" s="172" t="s">
        <v>4</v>
      </c>
      <c r="I392" s="173"/>
      <c r="J392" s="174"/>
      <c r="K392" s="10">
        <v>58</v>
      </c>
      <c r="L392" s="15"/>
      <c r="M392" s="15"/>
      <c r="N392" s="16"/>
    </row>
    <row r="393" spans="2:14" ht="15.75" x14ac:dyDescent="0.25">
      <c r="B393" s="4" t="s">
        <v>5</v>
      </c>
      <c r="C393" s="19">
        <v>69</v>
      </c>
      <c r="D393" s="169" t="s">
        <v>8</v>
      </c>
      <c r="E393" s="170"/>
      <c r="F393" s="171"/>
      <c r="G393" s="17">
        <v>0.3</v>
      </c>
      <c r="H393" s="172" t="s">
        <v>9</v>
      </c>
      <c r="I393" s="173"/>
      <c r="J393" s="174"/>
      <c r="K393" s="12">
        <v>1.02</v>
      </c>
      <c r="L393" s="172" t="s">
        <v>6</v>
      </c>
      <c r="M393" s="174"/>
      <c r="N393" s="20">
        <v>3.4</v>
      </c>
    </row>
    <row r="394" spans="2:14" ht="16.5" thickBot="1" x14ac:dyDescent="0.3">
      <c r="B394" s="5"/>
      <c r="C394" s="9"/>
      <c r="D394" s="9"/>
      <c r="E394" s="9"/>
      <c r="F394" s="9"/>
      <c r="G394" s="9"/>
      <c r="H394" s="79"/>
      <c r="I394" s="21"/>
      <c r="J394" s="21"/>
      <c r="K394" s="21"/>
      <c r="L394" s="21"/>
      <c r="M394" s="21"/>
      <c r="N394" s="6"/>
    </row>
    <row r="395" spans="2:14" ht="15.75" x14ac:dyDescent="0.25">
      <c r="B395" s="7" t="s">
        <v>7</v>
      </c>
      <c r="C395" s="1">
        <v>1</v>
      </c>
      <c r="D395" s="1">
        <v>2</v>
      </c>
      <c r="E395" s="1">
        <v>3</v>
      </c>
      <c r="F395" s="1">
        <v>4</v>
      </c>
      <c r="G395" s="1">
        <v>5</v>
      </c>
      <c r="H395" s="77">
        <v>6</v>
      </c>
      <c r="I395" s="160" t="s">
        <v>169</v>
      </c>
      <c r="J395" s="220"/>
      <c r="K395" s="220"/>
      <c r="L395" s="220"/>
      <c r="M395" s="220"/>
      <c r="N395" s="221"/>
    </row>
    <row r="396" spans="2:14" ht="15.75" x14ac:dyDescent="0.25">
      <c r="B396" s="87" t="s">
        <v>10</v>
      </c>
      <c r="C396" s="19">
        <v>47</v>
      </c>
      <c r="D396" s="19">
        <v>45</v>
      </c>
      <c r="E396" s="19">
        <v>47</v>
      </c>
      <c r="F396" s="19">
        <v>46</v>
      </c>
      <c r="G396" s="19">
        <v>45</v>
      </c>
      <c r="H396" s="95">
        <v>46</v>
      </c>
      <c r="I396" s="222"/>
      <c r="J396" s="223"/>
      <c r="K396" s="223"/>
      <c r="L396" s="223"/>
      <c r="M396" s="223"/>
      <c r="N396" s="224"/>
    </row>
    <row r="397" spans="2:14" ht="16.5" thickBot="1" x14ac:dyDescent="0.3">
      <c r="B397" s="94" t="s">
        <v>12</v>
      </c>
      <c r="C397" s="93">
        <v>76</v>
      </c>
      <c r="D397" s="93">
        <v>78</v>
      </c>
      <c r="E397" s="93">
        <v>82</v>
      </c>
      <c r="F397" s="93">
        <v>89</v>
      </c>
      <c r="G397" s="93">
        <v>80</v>
      </c>
      <c r="H397" s="97">
        <v>81</v>
      </c>
      <c r="I397" s="225"/>
      <c r="J397" s="226"/>
      <c r="K397" s="226"/>
      <c r="L397" s="226"/>
      <c r="M397" s="226"/>
      <c r="N397" s="227"/>
    </row>
    <row r="399" spans="2:14" ht="15.75" thickBot="1" x14ac:dyDescent="0.3"/>
    <row r="400" spans="2:14" ht="15.75" x14ac:dyDescent="0.25">
      <c r="B400" s="2" t="s">
        <v>0</v>
      </c>
      <c r="C400" s="175" t="s">
        <v>59</v>
      </c>
      <c r="D400" s="176"/>
      <c r="E400" s="177" t="s">
        <v>1</v>
      </c>
      <c r="F400" s="178"/>
      <c r="G400" s="11">
        <v>140</v>
      </c>
      <c r="H400" s="179" t="s">
        <v>2</v>
      </c>
      <c r="I400" s="180"/>
      <c r="J400" s="181"/>
      <c r="K400" s="13">
        <v>140</v>
      </c>
      <c r="L400" s="3"/>
      <c r="M400" s="80" t="s">
        <v>11</v>
      </c>
      <c r="N400" s="98">
        <v>44884</v>
      </c>
    </row>
    <row r="401" spans="2:14" ht="15.75" x14ac:dyDescent="0.25">
      <c r="B401" s="4" t="s">
        <v>3</v>
      </c>
      <c r="C401" s="10">
        <v>14768</v>
      </c>
      <c r="D401" s="169" t="s">
        <v>57</v>
      </c>
      <c r="E401" s="170"/>
      <c r="F401" s="171"/>
      <c r="G401" s="18">
        <v>6992</v>
      </c>
      <c r="H401" s="172" t="s">
        <v>4</v>
      </c>
      <c r="I401" s="173"/>
      <c r="J401" s="174"/>
      <c r="K401" s="10">
        <v>60</v>
      </c>
      <c r="L401" s="15"/>
      <c r="M401" s="15"/>
      <c r="N401" s="16"/>
    </row>
    <row r="402" spans="2:14" ht="15.75" x14ac:dyDescent="0.25">
      <c r="B402" s="4" t="s">
        <v>5</v>
      </c>
      <c r="C402" s="19">
        <v>69</v>
      </c>
      <c r="D402" s="169" t="s">
        <v>8</v>
      </c>
      <c r="E402" s="170"/>
      <c r="F402" s="171"/>
      <c r="G402" s="17">
        <v>0.3</v>
      </c>
      <c r="H402" s="172" t="s">
        <v>9</v>
      </c>
      <c r="I402" s="173"/>
      <c r="J402" s="174"/>
      <c r="K402" s="12">
        <v>1.02</v>
      </c>
      <c r="L402" s="172" t="s">
        <v>6</v>
      </c>
      <c r="M402" s="174"/>
      <c r="N402" s="20">
        <v>3.4</v>
      </c>
    </row>
    <row r="403" spans="2:14" ht="16.5" thickBot="1" x14ac:dyDescent="0.3">
      <c r="B403" s="5"/>
      <c r="C403" s="9"/>
      <c r="D403" s="9"/>
      <c r="E403" s="9"/>
      <c r="F403" s="9"/>
      <c r="G403" s="9"/>
      <c r="H403" s="79"/>
      <c r="I403" s="21"/>
      <c r="J403" s="21"/>
      <c r="K403" s="21"/>
      <c r="L403" s="21"/>
      <c r="M403" s="21"/>
      <c r="N403" s="6"/>
    </row>
    <row r="404" spans="2:14" ht="15.75" x14ac:dyDescent="0.25">
      <c r="B404" s="7" t="s">
        <v>7</v>
      </c>
      <c r="C404" s="1">
        <v>1</v>
      </c>
      <c r="D404" s="1">
        <v>2</v>
      </c>
      <c r="E404" s="1">
        <v>3</v>
      </c>
      <c r="F404" s="1">
        <v>4</v>
      </c>
      <c r="G404" s="1">
        <v>5</v>
      </c>
      <c r="H404" s="77">
        <v>6</v>
      </c>
      <c r="I404" s="160" t="s">
        <v>170</v>
      </c>
      <c r="J404" s="220"/>
      <c r="K404" s="220"/>
      <c r="L404" s="220"/>
      <c r="M404" s="220"/>
      <c r="N404" s="221"/>
    </row>
    <row r="405" spans="2:14" ht="15.75" x14ac:dyDescent="0.25">
      <c r="B405" s="87" t="s">
        <v>10</v>
      </c>
      <c r="C405" s="19">
        <v>46</v>
      </c>
      <c r="D405" s="19">
        <v>45</v>
      </c>
      <c r="E405" s="19">
        <v>45</v>
      </c>
      <c r="F405" s="19">
        <v>47</v>
      </c>
      <c r="G405" s="19">
        <v>48</v>
      </c>
      <c r="H405" s="95">
        <v>47</v>
      </c>
      <c r="I405" s="222"/>
      <c r="J405" s="223"/>
      <c r="K405" s="223"/>
      <c r="L405" s="223"/>
      <c r="M405" s="223"/>
      <c r="N405" s="224"/>
    </row>
    <row r="406" spans="2:14" ht="16.5" thickBot="1" x14ac:dyDescent="0.3">
      <c r="B406" s="94" t="s">
        <v>12</v>
      </c>
      <c r="C406" s="93">
        <v>77</v>
      </c>
      <c r="D406" s="93">
        <v>74</v>
      </c>
      <c r="E406" s="93">
        <v>76</v>
      </c>
      <c r="F406" s="93">
        <v>72</v>
      </c>
      <c r="G406" s="93">
        <v>76</v>
      </c>
      <c r="H406" s="97">
        <v>80</v>
      </c>
      <c r="I406" s="225"/>
      <c r="J406" s="226"/>
      <c r="K406" s="226"/>
      <c r="L406" s="226"/>
      <c r="M406" s="226"/>
      <c r="N406" s="227"/>
    </row>
    <row r="408" spans="2:14" ht="15.75" thickBot="1" x14ac:dyDescent="0.3"/>
    <row r="409" spans="2:14" ht="15.75" x14ac:dyDescent="0.25">
      <c r="B409" s="2" t="s">
        <v>0</v>
      </c>
      <c r="C409" s="175" t="s">
        <v>59</v>
      </c>
      <c r="D409" s="176"/>
      <c r="E409" s="177" t="s">
        <v>1</v>
      </c>
      <c r="F409" s="178"/>
      <c r="G409" s="11">
        <v>140</v>
      </c>
      <c r="H409" s="179" t="s">
        <v>2</v>
      </c>
      <c r="I409" s="180"/>
      <c r="J409" s="181"/>
      <c r="K409" s="13">
        <v>140</v>
      </c>
      <c r="L409" s="3"/>
      <c r="M409" s="80" t="s">
        <v>11</v>
      </c>
      <c r="N409" s="98">
        <v>44891</v>
      </c>
    </row>
    <row r="410" spans="2:14" ht="15.75" x14ac:dyDescent="0.25">
      <c r="B410" s="4" t="s">
        <v>3</v>
      </c>
      <c r="C410" s="10">
        <v>14922</v>
      </c>
      <c r="D410" s="169" t="s">
        <v>57</v>
      </c>
      <c r="E410" s="170"/>
      <c r="F410" s="171"/>
      <c r="G410" s="18">
        <v>6869</v>
      </c>
      <c r="H410" s="172" t="s">
        <v>4</v>
      </c>
      <c r="I410" s="173"/>
      <c r="J410" s="174"/>
      <c r="K410" s="10">
        <v>58</v>
      </c>
      <c r="L410" s="15"/>
      <c r="M410" s="15"/>
      <c r="N410" s="16"/>
    </row>
    <row r="411" spans="2:14" ht="15.75" x14ac:dyDescent="0.25">
      <c r="B411" s="4" t="s">
        <v>5</v>
      </c>
      <c r="C411" s="19">
        <v>64</v>
      </c>
      <c r="D411" s="169" t="s">
        <v>8</v>
      </c>
      <c r="E411" s="170"/>
      <c r="F411" s="171"/>
      <c r="G411" s="17">
        <v>0.3</v>
      </c>
      <c r="H411" s="172" t="s">
        <v>9</v>
      </c>
      <c r="I411" s="173"/>
      <c r="J411" s="174"/>
      <c r="K411" s="12">
        <v>1.02</v>
      </c>
      <c r="L411" s="172" t="s">
        <v>6</v>
      </c>
      <c r="M411" s="174"/>
      <c r="N411" s="20">
        <v>3.4</v>
      </c>
    </row>
    <row r="412" spans="2:14" ht="16.5" thickBot="1" x14ac:dyDescent="0.3">
      <c r="B412" s="5"/>
      <c r="C412" s="9"/>
      <c r="D412" s="9"/>
      <c r="E412" s="9"/>
      <c r="F412" s="9"/>
      <c r="G412" s="9"/>
      <c r="H412" s="79"/>
      <c r="I412" s="21"/>
      <c r="J412" s="21"/>
      <c r="K412" s="21"/>
      <c r="L412" s="21"/>
      <c r="M412" s="21"/>
      <c r="N412" s="6"/>
    </row>
    <row r="413" spans="2:14" ht="15.75" x14ac:dyDescent="0.25">
      <c r="B413" s="7" t="s">
        <v>7</v>
      </c>
      <c r="C413" s="1">
        <v>1</v>
      </c>
      <c r="D413" s="1">
        <v>2</v>
      </c>
      <c r="E413" s="1">
        <v>3</v>
      </c>
      <c r="F413" s="1">
        <v>4</v>
      </c>
      <c r="G413" s="1">
        <v>5</v>
      </c>
      <c r="H413" s="77">
        <v>6</v>
      </c>
      <c r="I413" s="160" t="s">
        <v>171</v>
      </c>
      <c r="J413" s="220"/>
      <c r="K413" s="220"/>
      <c r="L413" s="220"/>
      <c r="M413" s="220"/>
      <c r="N413" s="221"/>
    </row>
    <row r="414" spans="2:14" ht="15.75" x14ac:dyDescent="0.25">
      <c r="B414" s="87" t="s">
        <v>10</v>
      </c>
      <c r="C414" s="19">
        <v>49</v>
      </c>
      <c r="D414" s="19">
        <v>46</v>
      </c>
      <c r="E414" s="19">
        <v>47</v>
      </c>
      <c r="F414" s="19">
        <v>45</v>
      </c>
      <c r="G414" s="19">
        <v>45</v>
      </c>
      <c r="H414" s="95">
        <v>46</v>
      </c>
      <c r="I414" s="222"/>
      <c r="J414" s="223"/>
      <c r="K414" s="223"/>
      <c r="L414" s="223"/>
      <c r="M414" s="223"/>
      <c r="N414" s="224"/>
    </row>
    <row r="415" spans="2:14" ht="16.5" thickBot="1" x14ac:dyDescent="0.3">
      <c r="B415" s="94" t="s">
        <v>12</v>
      </c>
      <c r="C415" s="93">
        <v>70</v>
      </c>
      <c r="D415" s="93">
        <v>68</v>
      </c>
      <c r="E415" s="93">
        <v>72</v>
      </c>
      <c r="F415" s="93">
        <v>74</v>
      </c>
      <c r="G415" s="93">
        <v>71</v>
      </c>
      <c r="H415" s="97">
        <v>68</v>
      </c>
      <c r="I415" s="225"/>
      <c r="J415" s="226"/>
      <c r="K415" s="226"/>
      <c r="L415" s="226"/>
      <c r="M415" s="226"/>
      <c r="N415" s="227"/>
    </row>
    <row r="417" spans="2:14" ht="15.75" thickBot="1" x14ac:dyDescent="0.3"/>
    <row r="418" spans="2:14" ht="15.75" x14ac:dyDescent="0.25">
      <c r="B418" s="2" t="s">
        <v>0</v>
      </c>
      <c r="C418" s="175" t="s">
        <v>59</v>
      </c>
      <c r="D418" s="176"/>
      <c r="E418" s="177" t="s">
        <v>1</v>
      </c>
      <c r="F418" s="178"/>
      <c r="G418" s="11">
        <v>140</v>
      </c>
      <c r="H418" s="179" t="s">
        <v>2</v>
      </c>
      <c r="I418" s="180"/>
      <c r="J418" s="181"/>
      <c r="K418" s="13">
        <v>140</v>
      </c>
      <c r="L418" s="3"/>
      <c r="M418" s="80" t="s">
        <v>11</v>
      </c>
      <c r="N418" s="98">
        <v>44898</v>
      </c>
    </row>
    <row r="419" spans="2:14" ht="15.75" x14ac:dyDescent="0.25">
      <c r="B419" s="4" t="s">
        <v>3</v>
      </c>
      <c r="C419" s="10">
        <v>15087</v>
      </c>
      <c r="D419" s="169" t="s">
        <v>57</v>
      </c>
      <c r="E419" s="170"/>
      <c r="F419" s="171"/>
      <c r="G419" s="18">
        <v>6230</v>
      </c>
      <c r="H419" s="172" t="s">
        <v>4</v>
      </c>
      <c r="I419" s="173"/>
      <c r="J419" s="174"/>
      <c r="K419" s="10">
        <v>56</v>
      </c>
      <c r="L419" s="15"/>
      <c r="M419" s="15"/>
      <c r="N419" s="16"/>
    </row>
    <row r="420" spans="2:14" ht="15.75" x14ac:dyDescent="0.25">
      <c r="B420" s="4" t="s">
        <v>5</v>
      </c>
      <c r="C420" s="19">
        <v>60</v>
      </c>
      <c r="D420" s="169" t="s">
        <v>8</v>
      </c>
      <c r="E420" s="170"/>
      <c r="F420" s="171"/>
      <c r="G420" s="17">
        <v>0.3</v>
      </c>
      <c r="H420" s="172" t="s">
        <v>9</v>
      </c>
      <c r="I420" s="173"/>
      <c r="J420" s="174"/>
      <c r="K420" s="12">
        <v>1.02</v>
      </c>
      <c r="L420" s="172" t="s">
        <v>6</v>
      </c>
      <c r="M420" s="174"/>
      <c r="N420" s="20">
        <v>3.4</v>
      </c>
    </row>
    <row r="421" spans="2:14" ht="16.5" thickBot="1" x14ac:dyDescent="0.3">
      <c r="B421" s="5"/>
      <c r="C421" s="9"/>
      <c r="D421" s="9"/>
      <c r="E421" s="9"/>
      <c r="F421" s="9"/>
      <c r="G421" s="9"/>
      <c r="H421" s="79"/>
      <c r="I421" s="21"/>
      <c r="J421" s="21"/>
      <c r="K421" s="21"/>
      <c r="L421" s="21"/>
      <c r="M421" s="21"/>
      <c r="N421" s="6"/>
    </row>
    <row r="422" spans="2:14" ht="15.75" customHeight="1" x14ac:dyDescent="0.25">
      <c r="B422" s="7" t="s">
        <v>7</v>
      </c>
      <c r="C422" s="1">
        <v>1</v>
      </c>
      <c r="D422" s="1">
        <v>2</v>
      </c>
      <c r="E422" s="1">
        <v>3</v>
      </c>
      <c r="F422" s="1">
        <v>4</v>
      </c>
      <c r="G422" s="1">
        <v>5</v>
      </c>
      <c r="H422" s="77">
        <v>6</v>
      </c>
      <c r="I422" s="160" t="s">
        <v>172</v>
      </c>
      <c r="J422" s="161"/>
      <c r="K422" s="161"/>
      <c r="L422" s="161"/>
      <c r="M422" s="161"/>
      <c r="N422" s="162"/>
    </row>
    <row r="423" spans="2:14" ht="15.75" x14ac:dyDescent="0.25">
      <c r="B423" s="87" t="s">
        <v>10</v>
      </c>
      <c r="C423" s="19">
        <v>48</v>
      </c>
      <c r="D423" s="19">
        <v>47</v>
      </c>
      <c r="E423" s="19">
        <v>46</v>
      </c>
      <c r="F423" s="19">
        <v>49</v>
      </c>
      <c r="G423" s="19">
        <v>47</v>
      </c>
      <c r="H423" s="95">
        <v>45</v>
      </c>
      <c r="I423" s="163"/>
      <c r="J423" s="164"/>
      <c r="K423" s="164"/>
      <c r="L423" s="164"/>
      <c r="M423" s="164"/>
      <c r="N423" s="165"/>
    </row>
    <row r="424" spans="2:14" ht="16.5" thickBot="1" x14ac:dyDescent="0.3">
      <c r="B424" s="94" t="s">
        <v>12</v>
      </c>
      <c r="C424" s="93">
        <v>67</v>
      </c>
      <c r="D424" s="93">
        <v>70</v>
      </c>
      <c r="E424" s="93">
        <v>69</v>
      </c>
      <c r="F424" s="93">
        <v>71</v>
      </c>
      <c r="G424" s="93">
        <v>69</v>
      </c>
      <c r="H424" s="97">
        <v>73</v>
      </c>
      <c r="I424" s="166"/>
      <c r="J424" s="167"/>
      <c r="K424" s="167"/>
      <c r="L424" s="167"/>
      <c r="M424" s="167"/>
      <c r="N424" s="168"/>
    </row>
    <row r="426" spans="2:14" ht="15.75" thickBot="1" x14ac:dyDescent="0.3"/>
    <row r="427" spans="2:14" ht="15.75" x14ac:dyDescent="0.25">
      <c r="B427" s="2" t="s">
        <v>0</v>
      </c>
      <c r="C427" s="175" t="s">
        <v>59</v>
      </c>
      <c r="D427" s="176"/>
      <c r="E427" s="177" t="s">
        <v>1</v>
      </c>
      <c r="F427" s="178"/>
      <c r="G427" s="11">
        <v>140</v>
      </c>
      <c r="H427" s="179" t="s">
        <v>2</v>
      </c>
      <c r="I427" s="180"/>
      <c r="J427" s="181"/>
      <c r="K427" s="13">
        <v>140</v>
      </c>
      <c r="L427" s="3"/>
      <c r="M427" s="80" t="s">
        <v>11</v>
      </c>
      <c r="N427" s="98">
        <v>44905</v>
      </c>
    </row>
    <row r="428" spans="2:14" ht="15.75" x14ac:dyDescent="0.25">
      <c r="B428" s="4" t="s">
        <v>3</v>
      </c>
      <c r="C428" s="10">
        <v>15133</v>
      </c>
      <c r="D428" s="169" t="s">
        <v>57</v>
      </c>
      <c r="E428" s="170"/>
      <c r="F428" s="171"/>
      <c r="G428" s="18"/>
      <c r="H428" s="172" t="s">
        <v>4</v>
      </c>
      <c r="I428" s="173"/>
      <c r="J428" s="174"/>
      <c r="K428" s="10"/>
      <c r="L428" s="15"/>
      <c r="M428" s="15"/>
      <c r="N428" s="16"/>
    </row>
    <row r="429" spans="2:14" ht="15.75" x14ac:dyDescent="0.25">
      <c r="B429" s="4" t="s">
        <v>5</v>
      </c>
      <c r="C429" s="19"/>
      <c r="D429" s="169" t="s">
        <v>8</v>
      </c>
      <c r="E429" s="170"/>
      <c r="F429" s="171"/>
      <c r="G429" s="17">
        <v>0.3</v>
      </c>
      <c r="H429" s="172" t="s">
        <v>9</v>
      </c>
      <c r="I429" s="173"/>
      <c r="J429" s="174"/>
      <c r="K429" s="12">
        <v>1.02</v>
      </c>
      <c r="L429" s="172" t="s">
        <v>6</v>
      </c>
      <c r="M429" s="174"/>
      <c r="N429" s="20">
        <v>3.4</v>
      </c>
    </row>
    <row r="430" spans="2:14" ht="16.5" thickBot="1" x14ac:dyDescent="0.3">
      <c r="B430" s="5"/>
      <c r="C430" s="9"/>
      <c r="D430" s="9"/>
      <c r="E430" s="9"/>
      <c r="F430" s="9"/>
      <c r="G430" s="9"/>
      <c r="H430" s="79"/>
      <c r="I430" s="21"/>
      <c r="J430" s="21"/>
      <c r="K430" s="21"/>
      <c r="L430" s="21"/>
      <c r="M430" s="21"/>
      <c r="N430" s="6"/>
    </row>
    <row r="431" spans="2:14" ht="15.75" x14ac:dyDescent="0.25">
      <c r="B431" s="7" t="s">
        <v>7</v>
      </c>
      <c r="C431" s="1">
        <v>1</v>
      </c>
      <c r="D431" s="1">
        <v>2</v>
      </c>
      <c r="E431" s="1">
        <v>3</v>
      </c>
      <c r="F431" s="1">
        <v>4</v>
      </c>
      <c r="G431" s="1">
        <v>5</v>
      </c>
      <c r="H431" s="77">
        <v>6</v>
      </c>
      <c r="I431" s="160" t="s">
        <v>173</v>
      </c>
      <c r="J431" s="161"/>
      <c r="K431" s="161"/>
      <c r="L431" s="161"/>
      <c r="M431" s="161"/>
      <c r="N431" s="162"/>
    </row>
    <row r="432" spans="2:14" ht="15.75" x14ac:dyDescent="0.25">
      <c r="B432" s="87" t="s">
        <v>10</v>
      </c>
      <c r="C432" s="19"/>
      <c r="D432" s="19"/>
      <c r="E432" s="19"/>
      <c r="F432" s="19"/>
      <c r="G432" s="19"/>
      <c r="H432" s="95"/>
      <c r="I432" s="163"/>
      <c r="J432" s="164"/>
      <c r="K432" s="164"/>
      <c r="L432" s="164"/>
      <c r="M432" s="164"/>
      <c r="N432" s="165"/>
    </row>
    <row r="433" spans="2:14" ht="16.5" thickBot="1" x14ac:dyDescent="0.3">
      <c r="B433" s="94" t="s">
        <v>12</v>
      </c>
      <c r="C433" s="93"/>
      <c r="D433" s="93"/>
      <c r="E433" s="93"/>
      <c r="F433" s="93"/>
      <c r="G433" s="93"/>
      <c r="H433" s="97"/>
      <c r="I433" s="166"/>
      <c r="J433" s="167"/>
      <c r="K433" s="167"/>
      <c r="L433" s="167"/>
      <c r="M433" s="167"/>
      <c r="N433" s="168"/>
    </row>
    <row r="435" spans="2:14" ht="15.75" thickBot="1" x14ac:dyDescent="0.3"/>
    <row r="436" spans="2:14" ht="15.75" x14ac:dyDescent="0.25">
      <c r="B436" s="2" t="s">
        <v>0</v>
      </c>
      <c r="C436" s="175" t="s">
        <v>59</v>
      </c>
      <c r="D436" s="176"/>
      <c r="E436" s="177" t="s">
        <v>1</v>
      </c>
      <c r="F436" s="178"/>
      <c r="G436" s="11">
        <v>140</v>
      </c>
      <c r="H436" s="179" t="s">
        <v>2</v>
      </c>
      <c r="I436" s="180"/>
      <c r="J436" s="181"/>
      <c r="K436" s="13">
        <v>140</v>
      </c>
      <c r="L436" s="3"/>
      <c r="M436" s="80" t="s">
        <v>11</v>
      </c>
      <c r="N436" s="98">
        <v>44912</v>
      </c>
    </row>
    <row r="437" spans="2:14" ht="15.75" x14ac:dyDescent="0.25">
      <c r="B437" s="4" t="s">
        <v>3</v>
      </c>
      <c r="C437" s="10">
        <v>15143</v>
      </c>
      <c r="D437" s="169" t="s">
        <v>57</v>
      </c>
      <c r="E437" s="170"/>
      <c r="F437" s="171"/>
      <c r="G437" s="18"/>
      <c r="H437" s="172" t="s">
        <v>4</v>
      </c>
      <c r="I437" s="173"/>
      <c r="J437" s="174"/>
      <c r="K437" s="10"/>
      <c r="L437" s="15"/>
      <c r="M437" s="15"/>
      <c r="N437" s="16"/>
    </row>
    <row r="438" spans="2:14" ht="15.75" x14ac:dyDescent="0.25">
      <c r="B438" s="4" t="s">
        <v>5</v>
      </c>
      <c r="C438" s="19"/>
      <c r="D438" s="169" t="s">
        <v>8</v>
      </c>
      <c r="E438" s="170"/>
      <c r="F438" s="171"/>
      <c r="G438" s="17">
        <v>0.3</v>
      </c>
      <c r="H438" s="172" t="s">
        <v>9</v>
      </c>
      <c r="I438" s="173"/>
      <c r="J438" s="174"/>
      <c r="K438" s="12">
        <v>1.02</v>
      </c>
      <c r="L438" s="172" t="s">
        <v>6</v>
      </c>
      <c r="M438" s="174"/>
      <c r="N438" s="20">
        <v>3.4</v>
      </c>
    </row>
    <row r="439" spans="2:14" ht="16.5" thickBot="1" x14ac:dyDescent="0.3">
      <c r="B439" s="5"/>
      <c r="C439" s="9"/>
      <c r="D439" s="9"/>
      <c r="E439" s="9"/>
      <c r="F439" s="9"/>
      <c r="G439" s="9"/>
      <c r="H439" s="79"/>
      <c r="I439" s="21"/>
      <c r="J439" s="21"/>
      <c r="K439" s="21"/>
      <c r="L439" s="21"/>
      <c r="M439" s="21"/>
      <c r="N439" s="6"/>
    </row>
    <row r="440" spans="2:14" ht="15.75" x14ac:dyDescent="0.25">
      <c r="B440" s="7" t="s">
        <v>7</v>
      </c>
      <c r="C440" s="1">
        <v>1</v>
      </c>
      <c r="D440" s="1">
        <v>2</v>
      </c>
      <c r="E440" s="1">
        <v>3</v>
      </c>
      <c r="F440" s="1">
        <v>4</v>
      </c>
      <c r="G440" s="1">
        <v>5</v>
      </c>
      <c r="H440" s="77">
        <v>6</v>
      </c>
      <c r="I440" s="160" t="s">
        <v>174</v>
      </c>
      <c r="J440" s="161"/>
      <c r="K440" s="161"/>
      <c r="L440" s="161"/>
      <c r="M440" s="161"/>
      <c r="N440" s="162"/>
    </row>
    <row r="441" spans="2:14" ht="15.75" x14ac:dyDescent="0.25">
      <c r="B441" s="87" t="s">
        <v>10</v>
      </c>
      <c r="C441" s="19"/>
      <c r="D441" s="19"/>
      <c r="E441" s="19"/>
      <c r="F441" s="19"/>
      <c r="G441" s="19"/>
      <c r="H441" s="95"/>
      <c r="I441" s="163"/>
      <c r="J441" s="164"/>
      <c r="K441" s="164"/>
      <c r="L441" s="164"/>
      <c r="M441" s="164"/>
      <c r="N441" s="165"/>
    </row>
    <row r="442" spans="2:14" ht="16.5" thickBot="1" x14ac:dyDescent="0.3">
      <c r="B442" s="94" t="s">
        <v>12</v>
      </c>
      <c r="C442" s="93"/>
      <c r="D442" s="93"/>
      <c r="E442" s="93"/>
      <c r="F442" s="93"/>
      <c r="G442" s="93"/>
      <c r="H442" s="97"/>
      <c r="I442" s="166"/>
      <c r="J442" s="167"/>
      <c r="K442" s="167"/>
      <c r="L442" s="167"/>
      <c r="M442" s="167"/>
      <c r="N442" s="168"/>
    </row>
    <row r="444" spans="2:14" ht="15.75" thickBot="1" x14ac:dyDescent="0.3"/>
    <row r="445" spans="2:14" ht="15.75" x14ac:dyDescent="0.25">
      <c r="B445" s="2" t="s">
        <v>0</v>
      </c>
      <c r="C445" s="175" t="s">
        <v>59</v>
      </c>
      <c r="D445" s="176"/>
      <c r="E445" s="177" t="s">
        <v>1</v>
      </c>
      <c r="F445" s="178"/>
      <c r="G445" s="11">
        <v>140</v>
      </c>
      <c r="H445" s="179" t="s">
        <v>2</v>
      </c>
      <c r="I445" s="180"/>
      <c r="J445" s="181"/>
      <c r="K445" s="13">
        <v>140</v>
      </c>
      <c r="L445" s="3"/>
      <c r="M445" s="80" t="s">
        <v>11</v>
      </c>
      <c r="N445" s="98">
        <v>44919</v>
      </c>
    </row>
    <row r="446" spans="2:14" ht="15.75" x14ac:dyDescent="0.25">
      <c r="B446" s="4" t="s">
        <v>3</v>
      </c>
      <c r="C446" s="10">
        <v>15241</v>
      </c>
      <c r="D446" s="169" t="s">
        <v>57</v>
      </c>
      <c r="E446" s="170"/>
      <c r="F446" s="171"/>
      <c r="G446" s="18"/>
      <c r="H446" s="172" t="s">
        <v>4</v>
      </c>
      <c r="I446" s="173"/>
      <c r="J446" s="174"/>
      <c r="K446" s="10"/>
      <c r="L446" s="15"/>
      <c r="M446" s="15"/>
      <c r="N446" s="16"/>
    </row>
    <row r="447" spans="2:14" ht="15.75" x14ac:dyDescent="0.25">
      <c r="B447" s="4" t="s">
        <v>5</v>
      </c>
      <c r="C447" s="19"/>
      <c r="D447" s="169" t="s">
        <v>8</v>
      </c>
      <c r="E447" s="170"/>
      <c r="F447" s="171"/>
      <c r="G447" s="17">
        <v>0.3</v>
      </c>
      <c r="H447" s="172" t="s">
        <v>9</v>
      </c>
      <c r="I447" s="173"/>
      <c r="J447" s="174"/>
      <c r="K447" s="12">
        <v>1.02</v>
      </c>
      <c r="L447" s="172" t="s">
        <v>6</v>
      </c>
      <c r="M447" s="174"/>
      <c r="N447" s="20">
        <v>3.4</v>
      </c>
    </row>
    <row r="448" spans="2:14" ht="16.5" thickBot="1" x14ac:dyDescent="0.3">
      <c r="B448" s="5"/>
      <c r="C448" s="9"/>
      <c r="D448" s="9"/>
      <c r="E448" s="9"/>
      <c r="F448" s="9"/>
      <c r="G448" s="9"/>
      <c r="H448" s="79"/>
      <c r="I448" s="21"/>
      <c r="J448" s="21"/>
      <c r="K448" s="21"/>
      <c r="L448" s="21"/>
      <c r="M448" s="21"/>
      <c r="N448" s="6"/>
    </row>
    <row r="449" spans="2:14" ht="15.75" x14ac:dyDescent="0.25">
      <c r="B449" s="7" t="s">
        <v>7</v>
      </c>
      <c r="C449" s="1">
        <v>1</v>
      </c>
      <c r="D449" s="1">
        <v>2</v>
      </c>
      <c r="E449" s="1">
        <v>3</v>
      </c>
      <c r="F449" s="1">
        <v>4</v>
      </c>
      <c r="G449" s="1">
        <v>5</v>
      </c>
      <c r="H449" s="77">
        <v>6</v>
      </c>
      <c r="I449" s="160" t="s">
        <v>175</v>
      </c>
      <c r="J449" s="161"/>
      <c r="K449" s="161"/>
      <c r="L449" s="161"/>
      <c r="M449" s="161"/>
      <c r="N449" s="162"/>
    </row>
    <row r="450" spans="2:14" ht="15.75" x14ac:dyDescent="0.25">
      <c r="B450" s="87" t="s">
        <v>10</v>
      </c>
      <c r="C450" s="19"/>
      <c r="D450" s="19"/>
      <c r="E450" s="19"/>
      <c r="F450" s="19"/>
      <c r="G450" s="19"/>
      <c r="H450" s="95"/>
      <c r="I450" s="163"/>
      <c r="J450" s="164"/>
      <c r="K450" s="164"/>
      <c r="L450" s="164"/>
      <c r="M450" s="164"/>
      <c r="N450" s="165"/>
    </row>
    <row r="451" spans="2:14" ht="16.5" thickBot="1" x14ac:dyDescent="0.3">
      <c r="B451" s="94" t="s">
        <v>12</v>
      </c>
      <c r="C451" s="93"/>
      <c r="D451" s="93"/>
      <c r="E451" s="93"/>
      <c r="F451" s="93"/>
      <c r="G451" s="93"/>
      <c r="H451" s="97"/>
      <c r="I451" s="166"/>
      <c r="J451" s="167"/>
      <c r="K451" s="167"/>
      <c r="L451" s="167"/>
      <c r="M451" s="167"/>
      <c r="N451" s="168"/>
    </row>
    <row r="452" spans="2:14" ht="15.75" thickBot="1" x14ac:dyDescent="0.3"/>
    <row r="453" spans="2:14" ht="15.75" x14ac:dyDescent="0.25">
      <c r="B453" s="2" t="s">
        <v>0</v>
      </c>
      <c r="C453" s="175" t="s">
        <v>59</v>
      </c>
      <c r="D453" s="176"/>
      <c r="E453" s="177" t="s">
        <v>1</v>
      </c>
      <c r="F453" s="178"/>
      <c r="G453" s="11">
        <v>140</v>
      </c>
      <c r="H453" s="179" t="s">
        <v>2</v>
      </c>
      <c r="I453" s="180"/>
      <c r="J453" s="181"/>
      <c r="K453" s="13">
        <v>140</v>
      </c>
      <c r="L453" s="3"/>
      <c r="M453" s="80" t="s">
        <v>11</v>
      </c>
      <c r="N453" s="98">
        <v>44926</v>
      </c>
    </row>
    <row r="454" spans="2:14" ht="15.75" x14ac:dyDescent="0.25">
      <c r="B454" s="4" t="s">
        <v>3</v>
      </c>
      <c r="C454" s="10">
        <v>15359</v>
      </c>
      <c r="D454" s="169" t="s">
        <v>57</v>
      </c>
      <c r="E454" s="170"/>
      <c r="F454" s="171"/>
      <c r="G454" s="18">
        <v>7445</v>
      </c>
      <c r="H454" s="172" t="s">
        <v>4</v>
      </c>
      <c r="I454" s="173"/>
      <c r="J454" s="174"/>
      <c r="K454" s="10">
        <v>60</v>
      </c>
      <c r="L454" s="15"/>
      <c r="M454" s="15"/>
      <c r="N454" s="16"/>
    </row>
    <row r="455" spans="2:14" ht="15.75" x14ac:dyDescent="0.25">
      <c r="B455" s="4" t="s">
        <v>5</v>
      </c>
      <c r="C455" s="19">
        <v>65</v>
      </c>
      <c r="D455" s="169" t="s">
        <v>8</v>
      </c>
      <c r="E455" s="170"/>
      <c r="F455" s="171"/>
      <c r="G455" s="17">
        <v>0.3</v>
      </c>
      <c r="H455" s="172" t="s">
        <v>9</v>
      </c>
      <c r="I455" s="173"/>
      <c r="J455" s="174"/>
      <c r="K455" s="12">
        <v>1.02</v>
      </c>
      <c r="L455" s="172" t="s">
        <v>6</v>
      </c>
      <c r="M455" s="174"/>
      <c r="N455" s="20">
        <v>3.4</v>
      </c>
    </row>
    <row r="456" spans="2:14" ht="16.5" thickBot="1" x14ac:dyDescent="0.3">
      <c r="B456" s="5"/>
      <c r="C456" s="9"/>
      <c r="D456" s="9"/>
      <c r="E456" s="9"/>
      <c r="F456" s="9"/>
      <c r="G456" s="9"/>
      <c r="H456" s="79"/>
      <c r="I456" s="21"/>
      <c r="J456" s="21"/>
      <c r="K456" s="21"/>
      <c r="L456" s="21"/>
      <c r="M456" s="21"/>
      <c r="N456" s="6"/>
    </row>
    <row r="457" spans="2:14" ht="15.75" x14ac:dyDescent="0.25">
      <c r="B457" s="7" t="s">
        <v>7</v>
      </c>
      <c r="C457" s="1">
        <v>1</v>
      </c>
      <c r="D457" s="1">
        <v>2</v>
      </c>
      <c r="E457" s="1">
        <v>3</v>
      </c>
      <c r="F457" s="1">
        <v>4</v>
      </c>
      <c r="G457" s="1">
        <v>5</v>
      </c>
      <c r="H457" s="77">
        <v>6</v>
      </c>
      <c r="I457" s="160" t="s">
        <v>176</v>
      </c>
      <c r="J457" s="161"/>
      <c r="K457" s="161"/>
      <c r="L457" s="161"/>
      <c r="M457" s="161"/>
      <c r="N457" s="162"/>
    </row>
    <row r="458" spans="2:14" ht="15.75" x14ac:dyDescent="0.25">
      <c r="B458" s="87" t="s">
        <v>10</v>
      </c>
      <c r="C458" s="19">
        <v>47</v>
      </c>
      <c r="D458" s="19">
        <v>49</v>
      </c>
      <c r="E458" s="19">
        <v>45</v>
      </c>
      <c r="F458" s="19">
        <v>45</v>
      </c>
      <c r="G458" s="19">
        <v>48</v>
      </c>
      <c r="H458" s="95">
        <v>47</v>
      </c>
      <c r="I458" s="163"/>
      <c r="J458" s="164"/>
      <c r="K458" s="164"/>
      <c r="L458" s="164"/>
      <c r="M458" s="164"/>
      <c r="N458" s="165"/>
    </row>
    <row r="459" spans="2:14" ht="16.5" thickBot="1" x14ac:dyDescent="0.3">
      <c r="B459" s="94" t="s">
        <v>12</v>
      </c>
      <c r="C459" s="93">
        <v>65</v>
      </c>
      <c r="D459" s="93">
        <v>74</v>
      </c>
      <c r="E459" s="93">
        <v>73</v>
      </c>
      <c r="F459" s="93">
        <v>76</v>
      </c>
      <c r="G459" s="93">
        <v>69</v>
      </c>
      <c r="H459" s="97">
        <v>76</v>
      </c>
      <c r="I459" s="166"/>
      <c r="J459" s="167"/>
      <c r="K459" s="167"/>
      <c r="L459" s="167"/>
      <c r="M459" s="167"/>
      <c r="N459" s="168"/>
    </row>
  </sheetData>
  <mergeCells count="461">
    <mergeCell ref="C453:D453"/>
    <mergeCell ref="E453:F453"/>
    <mergeCell ref="H453:J453"/>
    <mergeCell ref="D454:F454"/>
    <mergeCell ref="H454:J454"/>
    <mergeCell ref="D455:F455"/>
    <mergeCell ref="H455:J455"/>
    <mergeCell ref="L455:M455"/>
    <mergeCell ref="I457:N459"/>
    <mergeCell ref="C436:D436"/>
    <mergeCell ref="E436:F436"/>
    <mergeCell ref="H436:J436"/>
    <mergeCell ref="D437:F437"/>
    <mergeCell ref="H437:J437"/>
    <mergeCell ref="D438:F438"/>
    <mergeCell ref="H438:J438"/>
    <mergeCell ref="L438:M438"/>
    <mergeCell ref="I440:N442"/>
    <mergeCell ref="C427:D427"/>
    <mergeCell ref="E427:F427"/>
    <mergeCell ref="H427:J427"/>
    <mergeCell ref="D428:F428"/>
    <mergeCell ref="H428:J428"/>
    <mergeCell ref="D429:F429"/>
    <mergeCell ref="H429:J429"/>
    <mergeCell ref="L429:M429"/>
    <mergeCell ref="I431:N433"/>
    <mergeCell ref="C418:D418"/>
    <mergeCell ref="E418:F418"/>
    <mergeCell ref="H418:J418"/>
    <mergeCell ref="D419:F419"/>
    <mergeCell ref="H419:J419"/>
    <mergeCell ref="D420:F420"/>
    <mergeCell ref="H420:J420"/>
    <mergeCell ref="L420:M420"/>
    <mergeCell ref="I422:N424"/>
    <mergeCell ref="C409:D409"/>
    <mergeCell ref="E409:F409"/>
    <mergeCell ref="H409:J409"/>
    <mergeCell ref="D410:F410"/>
    <mergeCell ref="H410:J410"/>
    <mergeCell ref="D411:F411"/>
    <mergeCell ref="H411:J411"/>
    <mergeCell ref="L411:M411"/>
    <mergeCell ref="I413:N415"/>
    <mergeCell ref="C391:D391"/>
    <mergeCell ref="E391:F391"/>
    <mergeCell ref="H391:J391"/>
    <mergeCell ref="D392:F392"/>
    <mergeCell ref="H392:J392"/>
    <mergeCell ref="D393:F393"/>
    <mergeCell ref="H393:J393"/>
    <mergeCell ref="L393:M393"/>
    <mergeCell ref="I395:N397"/>
    <mergeCell ref="C382:D382"/>
    <mergeCell ref="E382:F382"/>
    <mergeCell ref="H382:J382"/>
    <mergeCell ref="D383:F383"/>
    <mergeCell ref="H383:J383"/>
    <mergeCell ref="D384:F384"/>
    <mergeCell ref="H384:J384"/>
    <mergeCell ref="L384:M384"/>
    <mergeCell ref="I386:N388"/>
    <mergeCell ref="C373:D373"/>
    <mergeCell ref="E373:F373"/>
    <mergeCell ref="H373:J373"/>
    <mergeCell ref="D374:F374"/>
    <mergeCell ref="H374:J374"/>
    <mergeCell ref="D375:F375"/>
    <mergeCell ref="H375:J375"/>
    <mergeCell ref="L375:M375"/>
    <mergeCell ref="I377:N379"/>
    <mergeCell ref="C355:D355"/>
    <mergeCell ref="E355:F355"/>
    <mergeCell ref="H355:J355"/>
    <mergeCell ref="D356:F356"/>
    <mergeCell ref="H356:J356"/>
    <mergeCell ref="D357:F357"/>
    <mergeCell ref="H357:J357"/>
    <mergeCell ref="L357:M357"/>
    <mergeCell ref="I359:N361"/>
    <mergeCell ref="C346:D346"/>
    <mergeCell ref="E346:F346"/>
    <mergeCell ref="H346:J346"/>
    <mergeCell ref="D347:F347"/>
    <mergeCell ref="H347:J347"/>
    <mergeCell ref="D348:F348"/>
    <mergeCell ref="H348:J348"/>
    <mergeCell ref="L348:M348"/>
    <mergeCell ref="I350:N352"/>
    <mergeCell ref="C337:D337"/>
    <mergeCell ref="E337:F337"/>
    <mergeCell ref="H337:J337"/>
    <mergeCell ref="D338:F338"/>
    <mergeCell ref="H338:J338"/>
    <mergeCell ref="D339:F339"/>
    <mergeCell ref="H339:J339"/>
    <mergeCell ref="L339:M339"/>
    <mergeCell ref="I341:N343"/>
    <mergeCell ref="C328:D328"/>
    <mergeCell ref="E328:F328"/>
    <mergeCell ref="H328:J328"/>
    <mergeCell ref="D329:F329"/>
    <mergeCell ref="H329:J329"/>
    <mergeCell ref="D330:F330"/>
    <mergeCell ref="H330:J330"/>
    <mergeCell ref="L330:M330"/>
    <mergeCell ref="I332:N334"/>
    <mergeCell ref="C319:D319"/>
    <mergeCell ref="E319:F319"/>
    <mergeCell ref="H319:J319"/>
    <mergeCell ref="D320:F320"/>
    <mergeCell ref="H320:J320"/>
    <mergeCell ref="D321:F321"/>
    <mergeCell ref="H321:J321"/>
    <mergeCell ref="L321:M321"/>
    <mergeCell ref="I323:N325"/>
    <mergeCell ref="C301:D301"/>
    <mergeCell ref="E301:F301"/>
    <mergeCell ref="H301:J301"/>
    <mergeCell ref="D302:F302"/>
    <mergeCell ref="H302:J302"/>
    <mergeCell ref="D303:F303"/>
    <mergeCell ref="H303:J303"/>
    <mergeCell ref="L303:M303"/>
    <mergeCell ref="I305:N307"/>
    <mergeCell ref="C265:D265"/>
    <mergeCell ref="E265:F265"/>
    <mergeCell ref="H265:J265"/>
    <mergeCell ref="D266:F266"/>
    <mergeCell ref="H266:J266"/>
    <mergeCell ref="D267:F267"/>
    <mergeCell ref="H267:J267"/>
    <mergeCell ref="L267:M267"/>
    <mergeCell ref="I269:N271"/>
    <mergeCell ref="C238:D238"/>
    <mergeCell ref="E238:F238"/>
    <mergeCell ref="H238:J238"/>
    <mergeCell ref="D239:F239"/>
    <mergeCell ref="H239:J239"/>
    <mergeCell ref="D240:F240"/>
    <mergeCell ref="H240:J240"/>
    <mergeCell ref="L240:M240"/>
    <mergeCell ref="I242:N244"/>
    <mergeCell ref="C220:D220"/>
    <mergeCell ref="E220:F220"/>
    <mergeCell ref="H220:J220"/>
    <mergeCell ref="D221:F221"/>
    <mergeCell ref="H221:J221"/>
    <mergeCell ref="D222:F222"/>
    <mergeCell ref="H222:J222"/>
    <mergeCell ref="L222:M222"/>
    <mergeCell ref="I224:N226"/>
    <mergeCell ref="C211:D211"/>
    <mergeCell ref="E211:F211"/>
    <mergeCell ref="H211:J211"/>
    <mergeCell ref="D212:F212"/>
    <mergeCell ref="H212:J212"/>
    <mergeCell ref="D213:F213"/>
    <mergeCell ref="H213:J213"/>
    <mergeCell ref="L213:M213"/>
    <mergeCell ref="I215:N217"/>
    <mergeCell ref="C166:D166"/>
    <mergeCell ref="E166:F166"/>
    <mergeCell ref="H166:J166"/>
    <mergeCell ref="D167:F167"/>
    <mergeCell ref="H167:J167"/>
    <mergeCell ref="D168:F168"/>
    <mergeCell ref="H168:J168"/>
    <mergeCell ref="L168:M168"/>
    <mergeCell ref="I170:N172"/>
    <mergeCell ref="C121:D121"/>
    <mergeCell ref="E121:F121"/>
    <mergeCell ref="H121:J121"/>
    <mergeCell ref="D122:F122"/>
    <mergeCell ref="H122:J122"/>
    <mergeCell ref="D123:F123"/>
    <mergeCell ref="H123:J123"/>
    <mergeCell ref="L123:M123"/>
    <mergeCell ref="I125:N127"/>
    <mergeCell ref="C103:D103"/>
    <mergeCell ref="E103:F103"/>
    <mergeCell ref="H103:J103"/>
    <mergeCell ref="D104:F104"/>
    <mergeCell ref="H104:J104"/>
    <mergeCell ref="D105:F105"/>
    <mergeCell ref="H105:J105"/>
    <mergeCell ref="L105:M105"/>
    <mergeCell ref="I107:N109"/>
    <mergeCell ref="D96:F96"/>
    <mergeCell ref="H96:J96"/>
    <mergeCell ref="L96:M96"/>
    <mergeCell ref="I98:N100"/>
    <mergeCell ref="C94:D94"/>
    <mergeCell ref="E94:F94"/>
    <mergeCell ref="H94:J94"/>
    <mergeCell ref="D95:F95"/>
    <mergeCell ref="H95:J95"/>
    <mergeCell ref="D87:F87"/>
    <mergeCell ref="H87:J87"/>
    <mergeCell ref="L87:M87"/>
    <mergeCell ref="I89:N91"/>
    <mergeCell ref="C85:D85"/>
    <mergeCell ref="E85:F85"/>
    <mergeCell ref="H85:J85"/>
    <mergeCell ref="D86:F86"/>
    <mergeCell ref="H86:J86"/>
    <mergeCell ref="D69:F69"/>
    <mergeCell ref="H69:J69"/>
    <mergeCell ref="L69:M69"/>
    <mergeCell ref="I71:N73"/>
    <mergeCell ref="C67:D67"/>
    <mergeCell ref="E67:F67"/>
    <mergeCell ref="H67:J67"/>
    <mergeCell ref="D68:F68"/>
    <mergeCell ref="H68:J68"/>
    <mergeCell ref="C2:E2"/>
    <mergeCell ref="G2:N2"/>
    <mergeCell ref="L6:M6"/>
    <mergeCell ref="I8:N10"/>
    <mergeCell ref="C13:D13"/>
    <mergeCell ref="E13:F13"/>
    <mergeCell ref="H13:J13"/>
    <mergeCell ref="D14:F14"/>
    <mergeCell ref="H14:J14"/>
    <mergeCell ref="C4:D4"/>
    <mergeCell ref="E4:F4"/>
    <mergeCell ref="H4:J4"/>
    <mergeCell ref="D5:F5"/>
    <mergeCell ref="H5:J5"/>
    <mergeCell ref="D6:F6"/>
    <mergeCell ref="H6:J6"/>
    <mergeCell ref="C31:D31"/>
    <mergeCell ref="E31:F31"/>
    <mergeCell ref="H31:J31"/>
    <mergeCell ref="D15:F15"/>
    <mergeCell ref="H15:J15"/>
    <mergeCell ref="I35:N37"/>
    <mergeCell ref="D32:F32"/>
    <mergeCell ref="H32:J32"/>
    <mergeCell ref="D33:F33"/>
    <mergeCell ref="H33:J33"/>
    <mergeCell ref="L33:M33"/>
    <mergeCell ref="L15:M15"/>
    <mergeCell ref="I17:N19"/>
    <mergeCell ref="L24:M24"/>
    <mergeCell ref="I26:N28"/>
    <mergeCell ref="C22:D22"/>
    <mergeCell ref="E22:F22"/>
    <mergeCell ref="H22:J22"/>
    <mergeCell ref="D23:F23"/>
    <mergeCell ref="H23:J23"/>
    <mergeCell ref="D24:F24"/>
    <mergeCell ref="H24:J24"/>
    <mergeCell ref="D42:F42"/>
    <mergeCell ref="H42:J42"/>
    <mergeCell ref="L42:M42"/>
    <mergeCell ref="I44:N46"/>
    <mergeCell ref="C40:D40"/>
    <mergeCell ref="E40:F40"/>
    <mergeCell ref="H40:J40"/>
    <mergeCell ref="D41:F41"/>
    <mergeCell ref="H41:J41"/>
    <mergeCell ref="D51:F51"/>
    <mergeCell ref="H51:J51"/>
    <mergeCell ref="L51:M51"/>
    <mergeCell ref="I53:N55"/>
    <mergeCell ref="C49:D49"/>
    <mergeCell ref="E49:F49"/>
    <mergeCell ref="H49:J49"/>
    <mergeCell ref="D50:F50"/>
    <mergeCell ref="H50:J50"/>
    <mergeCell ref="D60:F60"/>
    <mergeCell ref="H60:J60"/>
    <mergeCell ref="L60:M60"/>
    <mergeCell ref="I62:N64"/>
    <mergeCell ref="C58:D58"/>
    <mergeCell ref="E58:F58"/>
    <mergeCell ref="H58:J58"/>
    <mergeCell ref="D59:F59"/>
    <mergeCell ref="H59:J59"/>
    <mergeCell ref="D78:F78"/>
    <mergeCell ref="H78:J78"/>
    <mergeCell ref="L78:M78"/>
    <mergeCell ref="I80:N82"/>
    <mergeCell ref="C76:D76"/>
    <mergeCell ref="E76:F76"/>
    <mergeCell ref="H76:J76"/>
    <mergeCell ref="D77:F77"/>
    <mergeCell ref="H77:J77"/>
    <mergeCell ref="C112:D112"/>
    <mergeCell ref="E112:F112"/>
    <mergeCell ref="H112:J112"/>
    <mergeCell ref="D113:F113"/>
    <mergeCell ref="H113:J113"/>
    <mergeCell ref="D114:F114"/>
    <mergeCell ref="H114:J114"/>
    <mergeCell ref="L114:M114"/>
    <mergeCell ref="I116:N118"/>
    <mergeCell ref="C130:D130"/>
    <mergeCell ref="E130:F130"/>
    <mergeCell ref="H130:J130"/>
    <mergeCell ref="D131:F131"/>
    <mergeCell ref="H131:J131"/>
    <mergeCell ref="D132:F132"/>
    <mergeCell ref="H132:J132"/>
    <mergeCell ref="L132:M132"/>
    <mergeCell ref="I134:N136"/>
    <mergeCell ref="C139:D139"/>
    <mergeCell ref="E139:F139"/>
    <mergeCell ref="H139:J139"/>
    <mergeCell ref="D140:F140"/>
    <mergeCell ref="H140:J140"/>
    <mergeCell ref="D141:F141"/>
    <mergeCell ref="H141:J141"/>
    <mergeCell ref="L141:M141"/>
    <mergeCell ref="I143:N145"/>
    <mergeCell ref="C148:D148"/>
    <mergeCell ref="E148:F148"/>
    <mergeCell ref="H148:J148"/>
    <mergeCell ref="D149:F149"/>
    <mergeCell ref="H149:J149"/>
    <mergeCell ref="D150:F150"/>
    <mergeCell ref="H150:J150"/>
    <mergeCell ref="L150:M150"/>
    <mergeCell ref="I152:N154"/>
    <mergeCell ref="C157:D157"/>
    <mergeCell ref="E157:F157"/>
    <mergeCell ref="H157:J157"/>
    <mergeCell ref="D158:F158"/>
    <mergeCell ref="H158:J158"/>
    <mergeCell ref="D159:F159"/>
    <mergeCell ref="H159:J159"/>
    <mergeCell ref="L159:M159"/>
    <mergeCell ref="I161:N163"/>
    <mergeCell ref="C175:D175"/>
    <mergeCell ref="E175:F175"/>
    <mergeCell ref="H175:J175"/>
    <mergeCell ref="D176:F176"/>
    <mergeCell ref="H176:J176"/>
    <mergeCell ref="D177:F177"/>
    <mergeCell ref="H177:J177"/>
    <mergeCell ref="L177:M177"/>
    <mergeCell ref="I179:N181"/>
    <mergeCell ref="C184:D184"/>
    <mergeCell ref="E184:F184"/>
    <mergeCell ref="H184:J184"/>
    <mergeCell ref="D185:F185"/>
    <mergeCell ref="H185:J185"/>
    <mergeCell ref="D186:F186"/>
    <mergeCell ref="H186:J186"/>
    <mergeCell ref="L186:M186"/>
    <mergeCell ref="I188:N190"/>
    <mergeCell ref="C193:D193"/>
    <mergeCell ref="E193:F193"/>
    <mergeCell ref="H193:J193"/>
    <mergeCell ref="D194:F194"/>
    <mergeCell ref="H194:J194"/>
    <mergeCell ref="D195:F195"/>
    <mergeCell ref="H195:J195"/>
    <mergeCell ref="L195:M195"/>
    <mergeCell ref="I197:N199"/>
    <mergeCell ref="C202:D202"/>
    <mergeCell ref="E202:F202"/>
    <mergeCell ref="H202:J202"/>
    <mergeCell ref="D203:F203"/>
    <mergeCell ref="H203:J203"/>
    <mergeCell ref="D204:F204"/>
    <mergeCell ref="H204:J204"/>
    <mergeCell ref="L204:M204"/>
    <mergeCell ref="I206:N208"/>
    <mergeCell ref="C229:D229"/>
    <mergeCell ref="E229:F229"/>
    <mergeCell ref="H229:J229"/>
    <mergeCell ref="D230:F230"/>
    <mergeCell ref="H230:J230"/>
    <mergeCell ref="D231:F231"/>
    <mergeCell ref="H231:J231"/>
    <mergeCell ref="L231:M231"/>
    <mergeCell ref="I233:N235"/>
    <mergeCell ref="C247:D247"/>
    <mergeCell ref="E247:F247"/>
    <mergeCell ref="H247:J247"/>
    <mergeCell ref="D248:F248"/>
    <mergeCell ref="H248:J248"/>
    <mergeCell ref="D249:F249"/>
    <mergeCell ref="H249:J249"/>
    <mergeCell ref="L249:M249"/>
    <mergeCell ref="I251:N253"/>
    <mergeCell ref="C256:D256"/>
    <mergeCell ref="E256:F256"/>
    <mergeCell ref="H256:J256"/>
    <mergeCell ref="D257:F257"/>
    <mergeCell ref="H257:J257"/>
    <mergeCell ref="D258:F258"/>
    <mergeCell ref="H258:J258"/>
    <mergeCell ref="L258:M258"/>
    <mergeCell ref="I260:N262"/>
    <mergeCell ref="C274:D274"/>
    <mergeCell ref="E274:F274"/>
    <mergeCell ref="H274:J274"/>
    <mergeCell ref="D275:F275"/>
    <mergeCell ref="H275:J275"/>
    <mergeCell ref="D276:F276"/>
    <mergeCell ref="H276:J276"/>
    <mergeCell ref="L276:M276"/>
    <mergeCell ref="I278:N280"/>
    <mergeCell ref="C283:D283"/>
    <mergeCell ref="E283:F283"/>
    <mergeCell ref="H283:J283"/>
    <mergeCell ref="D284:F284"/>
    <mergeCell ref="H284:J284"/>
    <mergeCell ref="D285:F285"/>
    <mergeCell ref="H285:J285"/>
    <mergeCell ref="L285:M285"/>
    <mergeCell ref="I287:N289"/>
    <mergeCell ref="C292:D292"/>
    <mergeCell ref="E292:F292"/>
    <mergeCell ref="H292:J292"/>
    <mergeCell ref="D293:F293"/>
    <mergeCell ref="H293:J293"/>
    <mergeCell ref="D294:F294"/>
    <mergeCell ref="H294:J294"/>
    <mergeCell ref="L294:M294"/>
    <mergeCell ref="I296:N298"/>
    <mergeCell ref="C310:D310"/>
    <mergeCell ref="E310:F310"/>
    <mergeCell ref="H310:J310"/>
    <mergeCell ref="D311:F311"/>
    <mergeCell ref="H311:J311"/>
    <mergeCell ref="D312:F312"/>
    <mergeCell ref="H312:J312"/>
    <mergeCell ref="L312:M312"/>
    <mergeCell ref="I314:N316"/>
    <mergeCell ref="C364:D364"/>
    <mergeCell ref="E364:F364"/>
    <mergeCell ref="H364:J364"/>
    <mergeCell ref="D365:F365"/>
    <mergeCell ref="H365:J365"/>
    <mergeCell ref="D366:F366"/>
    <mergeCell ref="H366:J366"/>
    <mergeCell ref="L366:M366"/>
    <mergeCell ref="I368:N370"/>
    <mergeCell ref="C400:D400"/>
    <mergeCell ref="E400:F400"/>
    <mergeCell ref="H400:J400"/>
    <mergeCell ref="D401:F401"/>
    <mergeCell ref="H401:J401"/>
    <mergeCell ref="D402:F402"/>
    <mergeCell ref="H402:J402"/>
    <mergeCell ref="L402:M402"/>
    <mergeCell ref="I404:N406"/>
    <mergeCell ref="C445:D445"/>
    <mergeCell ref="E445:F445"/>
    <mergeCell ref="H445:J445"/>
    <mergeCell ref="D446:F446"/>
    <mergeCell ref="H446:J446"/>
    <mergeCell ref="D447:F447"/>
    <mergeCell ref="H447:J447"/>
    <mergeCell ref="L447:M447"/>
    <mergeCell ref="I449:N45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437"/>
  <sheetViews>
    <sheetView topLeftCell="A409" zoomScale="98" zoomScaleNormal="98" workbookViewId="0">
      <selection activeCell="I379" sqref="I379:N381"/>
    </sheetView>
  </sheetViews>
  <sheetFormatPr defaultRowHeight="15" x14ac:dyDescent="0.25"/>
  <cols>
    <col min="2" max="2" width="21.7109375" customWidth="1"/>
    <col min="14" max="14" width="16.28515625" customWidth="1"/>
    <col min="15" max="15" width="15.85546875" bestFit="1" customWidth="1"/>
  </cols>
  <sheetData>
    <row r="1" spans="2:14" ht="15.75" thickBot="1" x14ac:dyDescent="0.3"/>
    <row r="2" spans="2:14" ht="16.5" thickTop="1" thickBot="1" x14ac:dyDescent="0.3">
      <c r="B2" s="23" t="s">
        <v>13</v>
      </c>
      <c r="C2" s="230" t="s">
        <v>58</v>
      </c>
      <c r="D2" s="230"/>
      <c r="E2" s="231"/>
      <c r="G2" s="229" t="s">
        <v>56</v>
      </c>
      <c r="H2" s="229"/>
      <c r="I2" s="229"/>
      <c r="J2" s="229"/>
      <c r="K2" s="229"/>
      <c r="L2" s="229"/>
      <c r="M2" s="229"/>
      <c r="N2" s="229"/>
    </row>
    <row r="3" spans="2:14" ht="16.5" thickTop="1" thickBot="1" x14ac:dyDescent="0.3"/>
    <row r="4" spans="2:14" ht="15.75" x14ac:dyDescent="0.25">
      <c r="B4" s="2" t="s">
        <v>0</v>
      </c>
      <c r="C4" s="175" t="s">
        <v>59</v>
      </c>
      <c r="D4" s="176"/>
      <c r="E4" s="177" t="s">
        <v>1</v>
      </c>
      <c r="F4" s="178"/>
      <c r="G4" s="11">
        <v>140</v>
      </c>
      <c r="H4" s="179" t="s">
        <v>2</v>
      </c>
      <c r="I4" s="180"/>
      <c r="J4" s="181"/>
      <c r="K4" s="13">
        <v>140</v>
      </c>
      <c r="L4" s="3"/>
      <c r="M4" s="80" t="s">
        <v>11</v>
      </c>
      <c r="N4" s="98">
        <v>44933</v>
      </c>
    </row>
    <row r="5" spans="2:14" ht="15.75" x14ac:dyDescent="0.25">
      <c r="B5" s="4" t="s">
        <v>3</v>
      </c>
      <c r="C5" s="10">
        <v>15504</v>
      </c>
      <c r="D5" s="169" t="s">
        <v>57</v>
      </c>
      <c r="E5" s="170"/>
      <c r="F5" s="171"/>
      <c r="G5" s="18">
        <v>5191</v>
      </c>
      <c r="H5" s="172" t="s">
        <v>4</v>
      </c>
      <c r="I5" s="173"/>
      <c r="J5" s="174"/>
      <c r="K5" s="10">
        <v>53</v>
      </c>
      <c r="L5" s="15"/>
      <c r="M5" s="15"/>
      <c r="N5" s="16"/>
    </row>
    <row r="6" spans="2:14" ht="15.75" x14ac:dyDescent="0.25">
      <c r="B6" s="4" t="s">
        <v>5</v>
      </c>
      <c r="C6" s="19">
        <v>55</v>
      </c>
      <c r="D6" s="169" t="s">
        <v>8</v>
      </c>
      <c r="E6" s="170"/>
      <c r="F6" s="171"/>
      <c r="G6" s="17">
        <v>0.3</v>
      </c>
      <c r="H6" s="172" t="s">
        <v>9</v>
      </c>
      <c r="I6" s="173"/>
      <c r="J6" s="174"/>
      <c r="K6" s="12">
        <v>1.02</v>
      </c>
      <c r="L6" s="172" t="s">
        <v>6</v>
      </c>
      <c r="M6" s="174"/>
      <c r="N6" s="20">
        <v>3.27</v>
      </c>
    </row>
    <row r="7" spans="2:14" ht="16.5" thickBot="1" x14ac:dyDescent="0.3">
      <c r="B7" s="5"/>
      <c r="C7" s="9"/>
      <c r="D7" s="9"/>
      <c r="E7" s="9"/>
      <c r="F7" s="9"/>
      <c r="G7" s="9"/>
      <c r="H7" s="79"/>
      <c r="I7" s="21"/>
      <c r="J7" s="21"/>
      <c r="K7" s="21"/>
      <c r="L7" s="21"/>
      <c r="M7" s="21"/>
      <c r="N7" s="6"/>
    </row>
    <row r="8" spans="2:14" ht="15.75" customHeight="1" x14ac:dyDescent="0.25">
      <c r="B8" s="7" t="s">
        <v>7</v>
      </c>
      <c r="C8" s="1">
        <v>1</v>
      </c>
      <c r="D8" s="1">
        <v>2</v>
      </c>
      <c r="E8" s="1">
        <v>3</v>
      </c>
      <c r="F8" s="1">
        <v>4</v>
      </c>
      <c r="G8" s="1">
        <v>5</v>
      </c>
      <c r="H8" s="77">
        <v>6</v>
      </c>
      <c r="I8" s="160" t="s">
        <v>177</v>
      </c>
      <c r="J8" s="161"/>
      <c r="K8" s="161"/>
      <c r="L8" s="161"/>
      <c r="M8" s="161"/>
      <c r="N8" s="162"/>
    </row>
    <row r="9" spans="2:14" ht="15.75" x14ac:dyDescent="0.25">
      <c r="B9" s="87" t="s">
        <v>10</v>
      </c>
      <c r="C9" s="19">
        <v>48</v>
      </c>
      <c r="D9" s="19">
        <v>45</v>
      </c>
      <c r="E9" s="19">
        <v>45</v>
      </c>
      <c r="F9" s="19">
        <v>45</v>
      </c>
      <c r="G9" s="19">
        <v>47</v>
      </c>
      <c r="H9" s="95">
        <v>45</v>
      </c>
      <c r="I9" s="163"/>
      <c r="J9" s="164"/>
      <c r="K9" s="164"/>
      <c r="L9" s="164"/>
      <c r="M9" s="164"/>
      <c r="N9" s="165"/>
    </row>
    <row r="10" spans="2:14" ht="16.5" thickBot="1" x14ac:dyDescent="0.3">
      <c r="B10" s="94" t="s">
        <v>12</v>
      </c>
      <c r="C10" s="93">
        <v>62</v>
      </c>
      <c r="D10" s="93">
        <v>71</v>
      </c>
      <c r="E10" s="93">
        <v>70</v>
      </c>
      <c r="F10" s="93">
        <v>73</v>
      </c>
      <c r="G10" s="93">
        <v>67</v>
      </c>
      <c r="H10" s="97">
        <v>78</v>
      </c>
      <c r="I10" s="166"/>
      <c r="J10" s="167"/>
      <c r="K10" s="167"/>
      <c r="L10" s="167"/>
      <c r="M10" s="167"/>
      <c r="N10" s="168"/>
    </row>
    <row r="11" spans="2:14" ht="15.75" thickBot="1" x14ac:dyDescent="0.3"/>
    <row r="12" spans="2:14" ht="15.75" x14ac:dyDescent="0.25">
      <c r="B12" s="2" t="s">
        <v>0</v>
      </c>
      <c r="C12" s="175" t="s">
        <v>59</v>
      </c>
      <c r="D12" s="176"/>
      <c r="E12" s="177" t="s">
        <v>1</v>
      </c>
      <c r="F12" s="178"/>
      <c r="G12" s="11">
        <v>140</v>
      </c>
      <c r="H12" s="179" t="s">
        <v>2</v>
      </c>
      <c r="I12" s="180"/>
      <c r="J12" s="181"/>
      <c r="K12" s="13">
        <v>140</v>
      </c>
      <c r="L12" s="3"/>
      <c r="M12" s="80" t="s">
        <v>11</v>
      </c>
      <c r="N12" s="98">
        <v>44940</v>
      </c>
    </row>
    <row r="13" spans="2:14" ht="15.75" x14ac:dyDescent="0.25">
      <c r="B13" s="4" t="s">
        <v>3</v>
      </c>
      <c r="C13" s="10">
        <v>15684</v>
      </c>
      <c r="D13" s="169" t="s">
        <v>57</v>
      </c>
      <c r="E13" s="170"/>
      <c r="F13" s="171"/>
      <c r="G13" s="18">
        <v>7522</v>
      </c>
      <c r="H13" s="172" t="s">
        <v>4</v>
      </c>
      <c r="I13" s="173"/>
      <c r="J13" s="174"/>
      <c r="K13" s="10">
        <v>60</v>
      </c>
      <c r="L13" s="15"/>
      <c r="M13" s="15"/>
      <c r="N13" s="16"/>
    </row>
    <row r="14" spans="2:14" ht="15.75" x14ac:dyDescent="0.25">
      <c r="B14" s="4" t="s">
        <v>5</v>
      </c>
      <c r="C14" s="19">
        <v>69</v>
      </c>
      <c r="D14" s="169" t="s">
        <v>8</v>
      </c>
      <c r="E14" s="170"/>
      <c r="F14" s="171"/>
      <c r="G14" s="17">
        <v>0.3</v>
      </c>
      <c r="H14" s="172" t="s">
        <v>9</v>
      </c>
      <c r="I14" s="173"/>
      <c r="J14" s="174"/>
      <c r="K14" s="12">
        <v>1.02</v>
      </c>
      <c r="L14" s="172" t="s">
        <v>6</v>
      </c>
      <c r="M14" s="174"/>
      <c r="N14" s="20">
        <v>3.27</v>
      </c>
    </row>
    <row r="15" spans="2:14" ht="16.5" thickBot="1" x14ac:dyDescent="0.3">
      <c r="B15" s="5"/>
      <c r="C15" s="9"/>
      <c r="D15" s="9"/>
      <c r="E15" s="9"/>
      <c r="F15" s="9"/>
      <c r="G15" s="9"/>
      <c r="H15" s="79"/>
      <c r="I15" s="21"/>
      <c r="J15" s="21"/>
      <c r="K15" s="21"/>
      <c r="L15" s="21"/>
      <c r="M15" s="21"/>
      <c r="N15" s="6"/>
    </row>
    <row r="16" spans="2:14" ht="15.75" customHeight="1" x14ac:dyDescent="0.25">
      <c r="B16" s="7" t="s">
        <v>7</v>
      </c>
      <c r="C16" s="1">
        <v>1</v>
      </c>
      <c r="D16" s="1">
        <v>2</v>
      </c>
      <c r="E16" s="1">
        <v>3</v>
      </c>
      <c r="F16" s="1">
        <v>4</v>
      </c>
      <c r="G16" s="1">
        <v>5</v>
      </c>
      <c r="H16" s="77">
        <v>6</v>
      </c>
      <c r="I16" s="160" t="s">
        <v>178</v>
      </c>
      <c r="J16" s="161"/>
      <c r="K16" s="161"/>
      <c r="L16" s="161"/>
      <c r="M16" s="161"/>
      <c r="N16" s="162"/>
    </row>
    <row r="17" spans="2:14" ht="15.75" x14ac:dyDescent="0.25">
      <c r="B17" s="87" t="s">
        <v>10</v>
      </c>
      <c r="C17" s="19">
        <v>45</v>
      </c>
      <c r="D17" s="19">
        <v>47</v>
      </c>
      <c r="E17" s="19">
        <v>48</v>
      </c>
      <c r="F17" s="19">
        <v>44</v>
      </c>
      <c r="G17" s="19">
        <v>48</v>
      </c>
      <c r="H17" s="95">
        <v>47</v>
      </c>
      <c r="I17" s="163"/>
      <c r="J17" s="164"/>
      <c r="K17" s="164"/>
      <c r="L17" s="164"/>
      <c r="M17" s="164"/>
      <c r="N17" s="165"/>
    </row>
    <row r="18" spans="2:14" ht="16.5" thickBot="1" x14ac:dyDescent="0.3">
      <c r="B18" s="94" t="s">
        <v>12</v>
      </c>
      <c r="C18" s="93">
        <v>67</v>
      </c>
      <c r="D18" s="93">
        <v>75</v>
      </c>
      <c r="E18" s="93">
        <v>69</v>
      </c>
      <c r="F18" s="93">
        <v>70</v>
      </c>
      <c r="G18" s="93">
        <v>68</v>
      </c>
      <c r="H18" s="97">
        <v>78</v>
      </c>
      <c r="I18" s="166"/>
      <c r="J18" s="167"/>
      <c r="K18" s="167"/>
      <c r="L18" s="167"/>
      <c r="M18" s="167"/>
      <c r="N18" s="168"/>
    </row>
    <row r="19" spans="2:14" ht="15.75" thickBot="1" x14ac:dyDescent="0.3"/>
    <row r="20" spans="2:14" ht="15.75" x14ac:dyDescent="0.25">
      <c r="B20" s="2" t="s">
        <v>0</v>
      </c>
      <c r="C20" s="175" t="s">
        <v>59</v>
      </c>
      <c r="D20" s="176"/>
      <c r="E20" s="177" t="s">
        <v>1</v>
      </c>
      <c r="F20" s="178"/>
      <c r="G20" s="11">
        <v>140</v>
      </c>
      <c r="H20" s="179" t="s">
        <v>2</v>
      </c>
      <c r="I20" s="180"/>
      <c r="J20" s="181"/>
      <c r="K20" s="13">
        <v>140</v>
      </c>
      <c r="L20" s="3"/>
      <c r="M20" s="80" t="s">
        <v>11</v>
      </c>
      <c r="N20" s="98">
        <v>44947</v>
      </c>
    </row>
    <row r="21" spans="2:14" ht="15.75" x14ac:dyDescent="0.25">
      <c r="B21" s="4" t="s">
        <v>3</v>
      </c>
      <c r="C21" s="10">
        <v>15746</v>
      </c>
      <c r="D21" s="169" t="s">
        <v>57</v>
      </c>
      <c r="E21" s="170"/>
      <c r="F21" s="171"/>
      <c r="G21" s="18">
        <v>2540</v>
      </c>
      <c r="H21" s="172" t="s">
        <v>4</v>
      </c>
      <c r="I21" s="173"/>
      <c r="J21" s="174"/>
      <c r="K21" s="10">
        <v>43</v>
      </c>
      <c r="L21" s="15"/>
      <c r="M21" s="15"/>
      <c r="N21" s="16"/>
    </row>
    <row r="22" spans="2:14" ht="15.75" x14ac:dyDescent="0.25">
      <c r="B22" s="4" t="s">
        <v>5</v>
      </c>
      <c r="C22" s="19">
        <v>34</v>
      </c>
      <c r="D22" s="169" t="s">
        <v>8</v>
      </c>
      <c r="E22" s="170"/>
      <c r="F22" s="171"/>
      <c r="G22" s="17">
        <v>0.3</v>
      </c>
      <c r="H22" s="172" t="s">
        <v>9</v>
      </c>
      <c r="I22" s="173"/>
      <c r="J22" s="174"/>
      <c r="K22" s="12">
        <v>1.02</v>
      </c>
      <c r="L22" s="172" t="s">
        <v>6</v>
      </c>
      <c r="M22" s="174"/>
      <c r="N22" s="20">
        <v>3.27</v>
      </c>
    </row>
    <row r="23" spans="2:14" ht="16.5" thickBot="1" x14ac:dyDescent="0.3">
      <c r="B23" s="5"/>
      <c r="C23" s="9"/>
      <c r="D23" s="9"/>
      <c r="E23" s="9"/>
      <c r="F23" s="9"/>
      <c r="G23" s="9"/>
      <c r="H23" s="79"/>
      <c r="I23" s="21"/>
      <c r="J23" s="21"/>
      <c r="K23" s="21"/>
      <c r="L23" s="21"/>
      <c r="M23" s="21"/>
      <c r="N23" s="6"/>
    </row>
    <row r="24" spans="2:14" ht="15.75" x14ac:dyDescent="0.25">
      <c r="B24" s="7" t="s">
        <v>7</v>
      </c>
      <c r="C24" s="1">
        <v>1</v>
      </c>
      <c r="D24" s="1">
        <v>2</v>
      </c>
      <c r="E24" s="1">
        <v>3</v>
      </c>
      <c r="F24" s="1">
        <v>4</v>
      </c>
      <c r="G24" s="1">
        <v>5</v>
      </c>
      <c r="H24" s="77">
        <v>6</v>
      </c>
      <c r="I24" s="160" t="s">
        <v>179</v>
      </c>
      <c r="J24" s="161"/>
      <c r="K24" s="161"/>
      <c r="L24" s="161"/>
      <c r="M24" s="161"/>
      <c r="N24" s="162"/>
    </row>
    <row r="25" spans="2:14" ht="15.75" x14ac:dyDescent="0.25">
      <c r="B25" s="87" t="s">
        <v>10</v>
      </c>
      <c r="C25" s="19">
        <v>50</v>
      </c>
      <c r="D25" s="19">
        <v>48</v>
      </c>
      <c r="E25" s="19">
        <v>48</v>
      </c>
      <c r="F25" s="19">
        <v>46</v>
      </c>
      <c r="G25" s="19">
        <v>45</v>
      </c>
      <c r="H25" s="95">
        <v>46</v>
      </c>
      <c r="I25" s="163"/>
      <c r="J25" s="164"/>
      <c r="K25" s="164"/>
      <c r="L25" s="164"/>
      <c r="M25" s="164"/>
      <c r="N25" s="165"/>
    </row>
    <row r="26" spans="2:14" ht="16.5" thickBot="1" x14ac:dyDescent="0.3">
      <c r="B26" s="94" t="s">
        <v>12</v>
      </c>
      <c r="C26" s="93">
        <v>68</v>
      </c>
      <c r="D26" s="93">
        <v>72</v>
      </c>
      <c r="E26" s="93">
        <v>70</v>
      </c>
      <c r="F26" s="93">
        <v>69</v>
      </c>
      <c r="G26" s="93">
        <v>67</v>
      </c>
      <c r="H26" s="97">
        <v>74</v>
      </c>
      <c r="I26" s="166"/>
      <c r="J26" s="167"/>
      <c r="K26" s="167"/>
      <c r="L26" s="167"/>
      <c r="M26" s="167"/>
      <c r="N26" s="168"/>
    </row>
    <row r="27" spans="2:14" ht="15.75" thickBot="1" x14ac:dyDescent="0.3"/>
    <row r="28" spans="2:14" ht="15.75" x14ac:dyDescent="0.25">
      <c r="B28" s="2" t="s">
        <v>0</v>
      </c>
      <c r="C28" s="175" t="s">
        <v>59</v>
      </c>
      <c r="D28" s="176"/>
      <c r="E28" s="177" t="s">
        <v>1</v>
      </c>
      <c r="F28" s="178"/>
      <c r="G28" s="11">
        <v>140</v>
      </c>
      <c r="H28" s="179" t="s">
        <v>2</v>
      </c>
      <c r="I28" s="180"/>
      <c r="J28" s="181"/>
      <c r="K28" s="13">
        <v>140</v>
      </c>
      <c r="L28" s="3"/>
      <c r="M28" s="80" t="s">
        <v>11</v>
      </c>
      <c r="N28" s="98">
        <v>44954</v>
      </c>
    </row>
    <row r="29" spans="2:14" ht="15.75" x14ac:dyDescent="0.25">
      <c r="B29" s="4" t="s">
        <v>3</v>
      </c>
      <c r="C29" s="10">
        <v>15914</v>
      </c>
      <c r="D29" s="169" t="s">
        <v>57</v>
      </c>
      <c r="E29" s="170"/>
      <c r="F29" s="171"/>
      <c r="G29" s="18">
        <v>2600</v>
      </c>
      <c r="H29" s="172" t="s">
        <v>4</v>
      </c>
      <c r="I29" s="173"/>
      <c r="J29" s="174"/>
      <c r="K29" s="10">
        <v>43</v>
      </c>
      <c r="L29" s="15"/>
      <c r="M29" s="15"/>
      <c r="N29" s="16"/>
    </row>
    <row r="30" spans="2:14" ht="15.75" x14ac:dyDescent="0.25">
      <c r="B30" s="4" t="s">
        <v>5</v>
      </c>
      <c r="C30" s="19">
        <v>37</v>
      </c>
      <c r="D30" s="169" t="s">
        <v>8</v>
      </c>
      <c r="E30" s="170"/>
      <c r="F30" s="171"/>
      <c r="G30" s="17">
        <v>0.3</v>
      </c>
      <c r="H30" s="172" t="s">
        <v>9</v>
      </c>
      <c r="I30" s="173"/>
      <c r="J30" s="174"/>
      <c r="K30" s="12">
        <v>1.02</v>
      </c>
      <c r="L30" s="172" t="s">
        <v>6</v>
      </c>
      <c r="M30" s="174"/>
      <c r="N30" s="20">
        <v>3.27</v>
      </c>
    </row>
    <row r="31" spans="2:14" ht="16.5" thickBot="1" x14ac:dyDescent="0.3">
      <c r="B31" s="5"/>
      <c r="C31" s="9"/>
      <c r="D31" s="9"/>
      <c r="E31" s="9"/>
      <c r="F31" s="9"/>
      <c r="G31" s="9"/>
      <c r="H31" s="79"/>
      <c r="I31" s="21"/>
      <c r="J31" s="21"/>
      <c r="K31" s="21"/>
      <c r="L31" s="21"/>
      <c r="M31" s="21"/>
      <c r="N31" s="6"/>
    </row>
    <row r="32" spans="2:14" ht="15.75" x14ac:dyDescent="0.25">
      <c r="B32" s="7" t="s">
        <v>7</v>
      </c>
      <c r="C32" s="1">
        <v>1</v>
      </c>
      <c r="D32" s="1">
        <v>2</v>
      </c>
      <c r="E32" s="1">
        <v>3</v>
      </c>
      <c r="F32" s="1">
        <v>4</v>
      </c>
      <c r="G32" s="1">
        <v>5</v>
      </c>
      <c r="H32" s="77">
        <v>6</v>
      </c>
      <c r="I32" s="160" t="s">
        <v>180</v>
      </c>
      <c r="J32" s="161"/>
      <c r="K32" s="161"/>
      <c r="L32" s="161"/>
      <c r="M32" s="161"/>
      <c r="N32" s="162"/>
    </row>
    <row r="33" spans="2:14" ht="15.75" x14ac:dyDescent="0.25">
      <c r="B33" s="87" t="s">
        <v>10</v>
      </c>
      <c r="C33" s="19">
        <v>45</v>
      </c>
      <c r="D33" s="19">
        <v>50</v>
      </c>
      <c r="E33" s="19">
        <v>55</v>
      </c>
      <c r="F33" s="19">
        <v>48</v>
      </c>
      <c r="G33" s="19">
        <v>48</v>
      </c>
      <c r="H33" s="95">
        <v>50</v>
      </c>
      <c r="I33" s="163"/>
      <c r="J33" s="164"/>
      <c r="K33" s="164"/>
      <c r="L33" s="164"/>
      <c r="M33" s="164"/>
      <c r="N33" s="165"/>
    </row>
    <row r="34" spans="2:14" ht="16.5" thickBot="1" x14ac:dyDescent="0.3">
      <c r="B34" s="94" t="s">
        <v>12</v>
      </c>
      <c r="C34" s="93">
        <v>70</v>
      </c>
      <c r="D34" s="93">
        <v>72</v>
      </c>
      <c r="E34" s="93">
        <v>75</v>
      </c>
      <c r="F34" s="93">
        <v>73</v>
      </c>
      <c r="G34" s="93">
        <v>68</v>
      </c>
      <c r="H34" s="97">
        <v>74</v>
      </c>
      <c r="I34" s="166"/>
      <c r="J34" s="167"/>
      <c r="K34" s="167"/>
      <c r="L34" s="167"/>
      <c r="M34" s="167"/>
      <c r="N34" s="168"/>
    </row>
    <row r="35" spans="2:14" ht="15.75" thickBot="1" x14ac:dyDescent="0.3"/>
    <row r="36" spans="2:14" ht="15.75" x14ac:dyDescent="0.25">
      <c r="B36" s="2" t="s">
        <v>0</v>
      </c>
      <c r="C36" s="175" t="s">
        <v>59</v>
      </c>
      <c r="D36" s="176"/>
      <c r="E36" s="177" t="s">
        <v>1</v>
      </c>
      <c r="F36" s="178"/>
      <c r="G36" s="11">
        <v>140</v>
      </c>
      <c r="H36" s="179" t="s">
        <v>2</v>
      </c>
      <c r="I36" s="180"/>
      <c r="J36" s="181"/>
      <c r="K36" s="13">
        <v>140</v>
      </c>
      <c r="L36" s="3"/>
      <c r="M36" s="80" t="s">
        <v>11</v>
      </c>
      <c r="N36" s="98">
        <v>44960</v>
      </c>
    </row>
    <row r="37" spans="2:14" ht="15.75" x14ac:dyDescent="0.25">
      <c r="B37" s="4" t="s">
        <v>3</v>
      </c>
      <c r="C37" s="10">
        <v>16058</v>
      </c>
      <c r="D37" s="169" t="s">
        <v>57</v>
      </c>
      <c r="E37" s="170"/>
      <c r="F37" s="171"/>
      <c r="G37" s="18">
        <v>8711</v>
      </c>
      <c r="H37" s="172" t="s">
        <v>4</v>
      </c>
      <c r="I37" s="173"/>
      <c r="J37" s="174"/>
      <c r="K37" s="10">
        <v>63</v>
      </c>
      <c r="L37" s="15"/>
      <c r="M37" s="15"/>
      <c r="N37" s="16"/>
    </row>
    <row r="38" spans="2:14" ht="15.75" x14ac:dyDescent="0.25">
      <c r="B38" s="4" t="s">
        <v>5</v>
      </c>
      <c r="C38" s="19">
        <v>73</v>
      </c>
      <c r="D38" s="169" t="s">
        <v>8</v>
      </c>
      <c r="E38" s="170"/>
      <c r="F38" s="171"/>
      <c r="G38" s="17">
        <v>0.3</v>
      </c>
      <c r="H38" s="172" t="s">
        <v>9</v>
      </c>
      <c r="I38" s="173"/>
      <c r="J38" s="174"/>
      <c r="K38" s="12">
        <v>1.02</v>
      </c>
      <c r="L38" s="172" t="s">
        <v>6</v>
      </c>
      <c r="M38" s="174"/>
      <c r="N38" s="20">
        <v>3.27</v>
      </c>
    </row>
    <row r="39" spans="2:14" ht="16.5" thickBot="1" x14ac:dyDescent="0.3">
      <c r="B39" s="5"/>
      <c r="C39" s="9"/>
      <c r="D39" s="9"/>
      <c r="E39" s="9"/>
      <c r="F39" s="9"/>
      <c r="G39" s="9"/>
      <c r="H39" s="79"/>
      <c r="I39" s="21"/>
      <c r="J39" s="21"/>
      <c r="K39" s="21"/>
      <c r="L39" s="21"/>
      <c r="M39" s="21"/>
      <c r="N39" s="6"/>
    </row>
    <row r="40" spans="2:14" ht="15.75" x14ac:dyDescent="0.25">
      <c r="B40" s="7" t="s">
        <v>7</v>
      </c>
      <c r="C40" s="1">
        <v>1</v>
      </c>
      <c r="D40" s="1">
        <v>2</v>
      </c>
      <c r="E40" s="1">
        <v>3</v>
      </c>
      <c r="F40" s="1">
        <v>4</v>
      </c>
      <c r="G40" s="1">
        <v>5</v>
      </c>
      <c r="H40" s="77">
        <v>6</v>
      </c>
      <c r="I40" s="160" t="s">
        <v>181</v>
      </c>
      <c r="J40" s="161"/>
      <c r="K40" s="161"/>
      <c r="L40" s="161"/>
      <c r="M40" s="161"/>
      <c r="N40" s="162"/>
    </row>
    <row r="41" spans="2:14" ht="15.75" x14ac:dyDescent="0.25">
      <c r="B41" s="87" t="s">
        <v>10</v>
      </c>
      <c r="C41" s="19">
        <v>48</v>
      </c>
      <c r="D41" s="19">
        <v>50</v>
      </c>
      <c r="E41" s="19">
        <v>52</v>
      </c>
      <c r="F41" s="19">
        <v>50</v>
      </c>
      <c r="G41" s="19">
        <v>50</v>
      </c>
      <c r="H41" s="95">
        <v>48</v>
      </c>
      <c r="I41" s="163"/>
      <c r="J41" s="164"/>
      <c r="K41" s="164"/>
      <c r="L41" s="164"/>
      <c r="M41" s="164"/>
      <c r="N41" s="165"/>
    </row>
    <row r="42" spans="2:14" ht="16.5" thickBot="1" x14ac:dyDescent="0.3">
      <c r="B42" s="94" t="s">
        <v>12</v>
      </c>
      <c r="C42" s="93">
        <v>74</v>
      </c>
      <c r="D42" s="93">
        <v>70</v>
      </c>
      <c r="E42" s="93">
        <v>72</v>
      </c>
      <c r="F42" s="93">
        <v>72</v>
      </c>
      <c r="G42" s="93">
        <v>70</v>
      </c>
      <c r="H42" s="97">
        <v>68</v>
      </c>
      <c r="I42" s="166"/>
      <c r="J42" s="167"/>
      <c r="K42" s="167"/>
      <c r="L42" s="167"/>
      <c r="M42" s="167"/>
      <c r="N42" s="168"/>
    </row>
    <row r="43" spans="2:14" ht="15.75" thickBot="1" x14ac:dyDescent="0.3"/>
    <row r="44" spans="2:14" ht="15.75" x14ac:dyDescent="0.25">
      <c r="B44" s="2" t="s">
        <v>0</v>
      </c>
      <c r="C44" s="175" t="s">
        <v>59</v>
      </c>
      <c r="D44" s="176"/>
      <c r="E44" s="177" t="s">
        <v>1</v>
      </c>
      <c r="F44" s="178"/>
      <c r="G44" s="11">
        <v>140</v>
      </c>
      <c r="H44" s="179" t="s">
        <v>2</v>
      </c>
      <c r="I44" s="180"/>
      <c r="J44" s="181"/>
      <c r="K44" s="13">
        <v>140</v>
      </c>
      <c r="L44" s="3"/>
      <c r="M44" s="80" t="s">
        <v>11</v>
      </c>
      <c r="N44" s="98">
        <v>44968</v>
      </c>
    </row>
    <row r="45" spans="2:14" ht="15.75" x14ac:dyDescent="0.25">
      <c r="B45" s="4" t="s">
        <v>3</v>
      </c>
      <c r="C45" s="10">
        <v>16189</v>
      </c>
      <c r="D45" s="169" t="s">
        <v>57</v>
      </c>
      <c r="E45" s="170"/>
      <c r="F45" s="171"/>
      <c r="G45" s="18">
        <v>7796</v>
      </c>
      <c r="H45" s="172" t="s">
        <v>4</v>
      </c>
      <c r="I45" s="173"/>
      <c r="J45" s="174"/>
      <c r="K45" s="10">
        <v>60</v>
      </c>
      <c r="L45" s="15"/>
      <c r="M45" s="15"/>
      <c r="N45" s="16"/>
    </row>
    <row r="46" spans="2:14" ht="15.75" x14ac:dyDescent="0.25">
      <c r="B46" s="4" t="s">
        <v>5</v>
      </c>
      <c r="C46" s="19">
        <v>67</v>
      </c>
      <c r="D46" s="169" t="s">
        <v>8</v>
      </c>
      <c r="E46" s="170"/>
      <c r="F46" s="171"/>
      <c r="G46" s="17">
        <v>0.3</v>
      </c>
      <c r="H46" s="172" t="s">
        <v>9</v>
      </c>
      <c r="I46" s="173"/>
      <c r="J46" s="174"/>
      <c r="K46" s="12">
        <v>1.02</v>
      </c>
      <c r="L46" s="172" t="s">
        <v>6</v>
      </c>
      <c r="M46" s="174"/>
      <c r="N46" s="20">
        <v>3.27</v>
      </c>
    </row>
    <row r="47" spans="2:14" ht="16.5" thickBot="1" x14ac:dyDescent="0.3">
      <c r="B47" s="5"/>
      <c r="C47" s="9"/>
      <c r="D47" s="9"/>
      <c r="E47" s="9"/>
      <c r="F47" s="9"/>
      <c r="G47" s="9"/>
      <c r="H47" s="79"/>
      <c r="I47" s="21"/>
      <c r="J47" s="21"/>
      <c r="K47" s="21"/>
      <c r="L47" s="21"/>
      <c r="M47" s="21"/>
      <c r="N47" s="6"/>
    </row>
    <row r="48" spans="2:14" ht="15.75" x14ac:dyDescent="0.25">
      <c r="B48" s="7" t="s">
        <v>7</v>
      </c>
      <c r="C48" s="1">
        <v>1</v>
      </c>
      <c r="D48" s="1">
        <v>2</v>
      </c>
      <c r="E48" s="1">
        <v>3</v>
      </c>
      <c r="F48" s="1">
        <v>4</v>
      </c>
      <c r="G48" s="1">
        <v>5</v>
      </c>
      <c r="H48" s="77">
        <v>6</v>
      </c>
      <c r="I48" s="160" t="s">
        <v>182</v>
      </c>
      <c r="J48" s="161"/>
      <c r="K48" s="161"/>
      <c r="L48" s="161"/>
      <c r="M48" s="161"/>
      <c r="N48" s="162"/>
    </row>
    <row r="49" spans="2:14" ht="15.75" x14ac:dyDescent="0.25">
      <c r="B49" s="87" t="s">
        <v>10</v>
      </c>
      <c r="C49" s="19">
        <v>49</v>
      </c>
      <c r="D49" s="19">
        <v>46</v>
      </c>
      <c r="E49" s="19">
        <v>47</v>
      </c>
      <c r="F49" s="19">
        <v>45</v>
      </c>
      <c r="G49" s="19">
        <v>45</v>
      </c>
      <c r="H49" s="95">
        <v>46</v>
      </c>
      <c r="I49" s="163"/>
      <c r="J49" s="164"/>
      <c r="K49" s="164"/>
      <c r="L49" s="164"/>
      <c r="M49" s="164"/>
      <c r="N49" s="165"/>
    </row>
    <row r="50" spans="2:14" ht="16.5" thickBot="1" x14ac:dyDescent="0.3">
      <c r="B50" s="94" t="s">
        <v>12</v>
      </c>
      <c r="C50" s="93">
        <v>70</v>
      </c>
      <c r="D50" s="93">
        <v>68</v>
      </c>
      <c r="E50" s="93">
        <v>72</v>
      </c>
      <c r="F50" s="93">
        <v>74</v>
      </c>
      <c r="G50" s="93">
        <v>71</v>
      </c>
      <c r="H50" s="97">
        <v>68</v>
      </c>
      <c r="I50" s="166"/>
      <c r="J50" s="167"/>
      <c r="K50" s="167"/>
      <c r="L50" s="167"/>
      <c r="M50" s="167"/>
      <c r="N50" s="168"/>
    </row>
    <row r="51" spans="2:14" ht="15.75" thickBot="1" x14ac:dyDescent="0.3"/>
    <row r="52" spans="2:14" ht="15.75" x14ac:dyDescent="0.25">
      <c r="B52" s="2" t="s">
        <v>0</v>
      </c>
      <c r="C52" s="175" t="s">
        <v>59</v>
      </c>
      <c r="D52" s="176"/>
      <c r="E52" s="177" t="s">
        <v>1</v>
      </c>
      <c r="F52" s="178"/>
      <c r="G52" s="11">
        <v>140</v>
      </c>
      <c r="H52" s="179" t="s">
        <v>2</v>
      </c>
      <c r="I52" s="180"/>
      <c r="J52" s="181"/>
      <c r="K52" s="13">
        <v>140</v>
      </c>
      <c r="L52" s="3"/>
      <c r="M52" s="80" t="s">
        <v>11</v>
      </c>
      <c r="N52" s="98">
        <v>44975</v>
      </c>
    </row>
    <row r="53" spans="2:14" ht="15.75" x14ac:dyDescent="0.25">
      <c r="B53" s="4" t="s">
        <v>3</v>
      </c>
      <c r="C53" s="10">
        <v>16189</v>
      </c>
      <c r="D53" s="169" t="s">
        <v>57</v>
      </c>
      <c r="E53" s="170"/>
      <c r="F53" s="171"/>
      <c r="G53" s="18">
        <v>7678</v>
      </c>
      <c r="H53" s="172" t="s">
        <v>4</v>
      </c>
      <c r="I53" s="173"/>
      <c r="J53" s="174"/>
      <c r="K53" s="10">
        <v>57</v>
      </c>
      <c r="L53" s="15"/>
      <c r="M53" s="15"/>
      <c r="N53" s="16"/>
    </row>
    <row r="54" spans="2:14" ht="15.75" x14ac:dyDescent="0.25">
      <c r="B54" s="4" t="s">
        <v>5</v>
      </c>
      <c r="C54" s="19">
        <v>70</v>
      </c>
      <c r="D54" s="169" t="s">
        <v>8</v>
      </c>
      <c r="E54" s="170"/>
      <c r="F54" s="171"/>
      <c r="G54" s="17">
        <v>0.3</v>
      </c>
      <c r="H54" s="172" t="s">
        <v>9</v>
      </c>
      <c r="I54" s="173"/>
      <c r="J54" s="174"/>
      <c r="K54" s="12">
        <v>1.02</v>
      </c>
      <c r="L54" s="172" t="s">
        <v>6</v>
      </c>
      <c r="M54" s="174"/>
      <c r="N54" s="20">
        <v>3.27</v>
      </c>
    </row>
    <row r="55" spans="2:14" ht="16.5" thickBot="1" x14ac:dyDescent="0.3">
      <c r="B55" s="5"/>
      <c r="C55" s="9"/>
      <c r="D55" s="9"/>
      <c r="E55" s="9"/>
      <c r="F55" s="9"/>
      <c r="G55" s="9"/>
      <c r="H55" s="79"/>
      <c r="I55" s="21"/>
      <c r="J55" s="21"/>
      <c r="K55" s="21"/>
      <c r="L55" s="21"/>
      <c r="M55" s="21"/>
      <c r="N55" s="6"/>
    </row>
    <row r="56" spans="2:14" ht="15.75" x14ac:dyDescent="0.25">
      <c r="B56" s="7" t="s">
        <v>7</v>
      </c>
      <c r="C56" s="1">
        <v>1</v>
      </c>
      <c r="D56" s="1">
        <v>2</v>
      </c>
      <c r="E56" s="1">
        <v>3</v>
      </c>
      <c r="F56" s="1">
        <v>4</v>
      </c>
      <c r="G56" s="1">
        <v>5</v>
      </c>
      <c r="H56" s="77">
        <v>6</v>
      </c>
      <c r="I56" s="160" t="s">
        <v>183</v>
      </c>
      <c r="J56" s="161"/>
      <c r="K56" s="161"/>
      <c r="L56" s="161"/>
      <c r="M56" s="161"/>
      <c r="N56" s="162"/>
    </row>
    <row r="57" spans="2:14" ht="15.75" x14ac:dyDescent="0.25">
      <c r="B57" s="87" t="s">
        <v>10</v>
      </c>
      <c r="C57" s="19">
        <v>55</v>
      </c>
      <c r="D57" s="19">
        <v>51</v>
      </c>
      <c r="E57" s="19">
        <v>48</v>
      </c>
      <c r="F57" s="19">
        <v>50</v>
      </c>
      <c r="G57" s="19">
        <v>52</v>
      </c>
      <c r="H57" s="95">
        <v>50</v>
      </c>
      <c r="I57" s="163"/>
      <c r="J57" s="164"/>
      <c r="K57" s="164"/>
      <c r="L57" s="164"/>
      <c r="M57" s="164"/>
      <c r="N57" s="165"/>
    </row>
    <row r="58" spans="2:14" ht="16.5" thickBot="1" x14ac:dyDescent="0.3">
      <c r="B58" s="94" t="s">
        <v>12</v>
      </c>
      <c r="C58" s="93">
        <v>74</v>
      </c>
      <c r="D58" s="93">
        <v>74</v>
      </c>
      <c r="E58" s="93">
        <v>69</v>
      </c>
      <c r="F58" s="93">
        <v>72</v>
      </c>
      <c r="G58" s="93">
        <v>74</v>
      </c>
      <c r="H58" s="97">
        <v>69</v>
      </c>
      <c r="I58" s="166"/>
      <c r="J58" s="167"/>
      <c r="K58" s="167"/>
      <c r="L58" s="167"/>
      <c r="M58" s="167"/>
      <c r="N58" s="168"/>
    </row>
    <row r="59" spans="2:14" ht="15.75" thickBot="1" x14ac:dyDescent="0.3"/>
    <row r="60" spans="2:14" ht="15.75" x14ac:dyDescent="0.25">
      <c r="B60" s="2" t="s">
        <v>0</v>
      </c>
      <c r="C60" s="175" t="s">
        <v>59</v>
      </c>
      <c r="D60" s="176"/>
      <c r="E60" s="177" t="s">
        <v>1</v>
      </c>
      <c r="F60" s="178"/>
      <c r="G60" s="11">
        <v>140</v>
      </c>
      <c r="H60" s="179" t="s">
        <v>2</v>
      </c>
      <c r="I60" s="180"/>
      <c r="J60" s="181"/>
      <c r="K60" s="13">
        <v>140</v>
      </c>
      <c r="L60" s="3"/>
      <c r="M60" s="80" t="s">
        <v>11</v>
      </c>
      <c r="N60" s="98">
        <v>44982</v>
      </c>
    </row>
    <row r="61" spans="2:14" ht="15.75" x14ac:dyDescent="0.25">
      <c r="B61" s="4" t="s">
        <v>3</v>
      </c>
      <c r="C61" s="10">
        <v>16502</v>
      </c>
      <c r="D61" s="169" t="s">
        <v>57</v>
      </c>
      <c r="E61" s="170"/>
      <c r="F61" s="171"/>
      <c r="G61" s="18"/>
      <c r="H61" s="172" t="s">
        <v>4</v>
      </c>
      <c r="I61" s="173"/>
      <c r="J61" s="174"/>
      <c r="K61" s="10"/>
      <c r="L61" s="15"/>
      <c r="M61" s="15"/>
      <c r="N61" s="16"/>
    </row>
    <row r="62" spans="2:14" ht="15.75" x14ac:dyDescent="0.25">
      <c r="B62" s="4" t="s">
        <v>5</v>
      </c>
      <c r="C62" s="19"/>
      <c r="D62" s="169" t="s">
        <v>8</v>
      </c>
      <c r="E62" s="170"/>
      <c r="F62" s="171"/>
      <c r="G62" s="17">
        <v>0.3</v>
      </c>
      <c r="H62" s="172" t="s">
        <v>9</v>
      </c>
      <c r="I62" s="173"/>
      <c r="J62" s="174"/>
      <c r="K62" s="12">
        <v>1.02</v>
      </c>
      <c r="L62" s="172" t="s">
        <v>6</v>
      </c>
      <c r="M62" s="174"/>
      <c r="N62" s="20">
        <v>3.27</v>
      </c>
    </row>
    <row r="63" spans="2:14" ht="16.5" thickBot="1" x14ac:dyDescent="0.3">
      <c r="B63" s="5"/>
      <c r="C63" s="9"/>
      <c r="D63" s="9"/>
      <c r="E63" s="9"/>
      <c r="F63" s="9"/>
      <c r="G63" s="9"/>
      <c r="H63" s="79"/>
      <c r="I63" s="21"/>
      <c r="J63" s="21"/>
      <c r="K63" s="21"/>
      <c r="L63" s="21"/>
      <c r="M63" s="21"/>
      <c r="N63" s="6"/>
    </row>
    <row r="64" spans="2:14" ht="15.75" x14ac:dyDescent="0.25">
      <c r="B64" s="7" t="s">
        <v>7</v>
      </c>
      <c r="C64" s="1">
        <v>1</v>
      </c>
      <c r="D64" s="1">
        <v>2</v>
      </c>
      <c r="E64" s="1">
        <v>3</v>
      </c>
      <c r="F64" s="1">
        <v>4</v>
      </c>
      <c r="G64" s="1">
        <v>5</v>
      </c>
      <c r="H64" s="77">
        <v>6</v>
      </c>
      <c r="I64" s="160" t="s">
        <v>185</v>
      </c>
      <c r="J64" s="161"/>
      <c r="K64" s="161"/>
      <c r="L64" s="161"/>
      <c r="M64" s="161"/>
      <c r="N64" s="162"/>
    </row>
    <row r="65" spans="2:14" ht="15.75" x14ac:dyDescent="0.25">
      <c r="B65" s="87" t="s">
        <v>10</v>
      </c>
      <c r="C65" s="19"/>
      <c r="D65" s="19"/>
      <c r="E65" s="19"/>
      <c r="F65" s="19"/>
      <c r="G65" s="19"/>
      <c r="H65" s="95"/>
      <c r="I65" s="163"/>
      <c r="J65" s="164"/>
      <c r="K65" s="164"/>
      <c r="L65" s="164"/>
      <c r="M65" s="164"/>
      <c r="N65" s="165"/>
    </row>
    <row r="66" spans="2:14" ht="16.5" thickBot="1" x14ac:dyDescent="0.3">
      <c r="B66" s="94" t="s">
        <v>12</v>
      </c>
      <c r="C66" s="93"/>
      <c r="D66" s="93"/>
      <c r="E66" s="93"/>
      <c r="F66" s="93"/>
      <c r="G66" s="93"/>
      <c r="H66" s="97"/>
      <c r="I66" s="166"/>
      <c r="J66" s="167"/>
      <c r="K66" s="167"/>
      <c r="L66" s="167"/>
      <c r="M66" s="167"/>
      <c r="N66" s="168"/>
    </row>
    <row r="67" spans="2:14" ht="15.75" thickBot="1" x14ac:dyDescent="0.3"/>
    <row r="68" spans="2:14" ht="15.75" x14ac:dyDescent="0.25">
      <c r="B68" s="2" t="s">
        <v>0</v>
      </c>
      <c r="C68" s="175" t="s">
        <v>59</v>
      </c>
      <c r="D68" s="176"/>
      <c r="E68" s="177" t="s">
        <v>1</v>
      </c>
      <c r="F68" s="178"/>
      <c r="G68" s="11">
        <v>140</v>
      </c>
      <c r="H68" s="179" t="s">
        <v>2</v>
      </c>
      <c r="I68" s="180"/>
      <c r="J68" s="181"/>
      <c r="K68" s="13">
        <v>140</v>
      </c>
      <c r="L68" s="3"/>
      <c r="M68" s="80" t="s">
        <v>11</v>
      </c>
      <c r="N68" s="98">
        <v>44989</v>
      </c>
    </row>
    <row r="69" spans="2:14" ht="15.75" x14ac:dyDescent="0.25">
      <c r="B69" s="4" t="s">
        <v>3</v>
      </c>
      <c r="C69" s="10">
        <v>16580</v>
      </c>
      <c r="D69" s="169" t="s">
        <v>57</v>
      </c>
      <c r="E69" s="170"/>
      <c r="F69" s="171"/>
      <c r="G69" s="18">
        <v>6807</v>
      </c>
      <c r="H69" s="172" t="s">
        <v>4</v>
      </c>
      <c r="I69" s="173"/>
      <c r="J69" s="174"/>
      <c r="K69" s="10">
        <v>58</v>
      </c>
      <c r="L69" s="15"/>
      <c r="M69" s="15"/>
      <c r="N69" s="16"/>
    </row>
    <row r="70" spans="2:14" ht="15.75" x14ac:dyDescent="0.25">
      <c r="B70" s="4" t="s">
        <v>5</v>
      </c>
      <c r="C70" s="19">
        <v>64</v>
      </c>
      <c r="D70" s="169" t="s">
        <v>8</v>
      </c>
      <c r="E70" s="170"/>
      <c r="F70" s="171"/>
      <c r="G70" s="17">
        <v>0.3</v>
      </c>
      <c r="H70" s="172" t="s">
        <v>9</v>
      </c>
      <c r="I70" s="173"/>
      <c r="J70" s="174"/>
      <c r="K70" s="12">
        <v>1.02</v>
      </c>
      <c r="L70" s="172" t="s">
        <v>6</v>
      </c>
      <c r="M70" s="174"/>
      <c r="N70" s="20">
        <v>3.27</v>
      </c>
    </row>
    <row r="71" spans="2:14" ht="16.5" thickBot="1" x14ac:dyDescent="0.3">
      <c r="B71" s="5"/>
      <c r="C71" s="9"/>
      <c r="D71" s="9"/>
      <c r="E71" s="9"/>
      <c r="F71" s="9"/>
      <c r="G71" s="9"/>
      <c r="H71" s="79"/>
      <c r="I71" s="21"/>
      <c r="J71" s="21"/>
      <c r="K71" s="21"/>
      <c r="L71" s="21"/>
      <c r="M71" s="21"/>
      <c r="N71" s="6"/>
    </row>
    <row r="72" spans="2:14" ht="15.75" x14ac:dyDescent="0.25">
      <c r="B72" s="7" t="s">
        <v>7</v>
      </c>
      <c r="C72" s="1">
        <v>1</v>
      </c>
      <c r="D72" s="1">
        <v>2</v>
      </c>
      <c r="E72" s="1">
        <v>3</v>
      </c>
      <c r="F72" s="1">
        <v>4</v>
      </c>
      <c r="G72" s="1">
        <v>5</v>
      </c>
      <c r="H72" s="77">
        <v>6</v>
      </c>
      <c r="I72" s="160" t="s">
        <v>184</v>
      </c>
      <c r="J72" s="161"/>
      <c r="K72" s="161"/>
      <c r="L72" s="161"/>
      <c r="M72" s="161"/>
      <c r="N72" s="162"/>
    </row>
    <row r="73" spans="2:14" ht="15.75" x14ac:dyDescent="0.25">
      <c r="B73" s="87" t="s">
        <v>10</v>
      </c>
      <c r="C73" s="19">
        <v>49</v>
      </c>
      <c r="D73" s="19">
        <v>49</v>
      </c>
      <c r="E73" s="19">
        <v>52</v>
      </c>
      <c r="F73" s="19">
        <v>51</v>
      </c>
      <c r="G73" s="19">
        <v>46</v>
      </c>
      <c r="H73" s="95">
        <v>48</v>
      </c>
      <c r="I73" s="163"/>
      <c r="J73" s="164"/>
      <c r="K73" s="164"/>
      <c r="L73" s="164"/>
      <c r="M73" s="164"/>
      <c r="N73" s="165"/>
    </row>
    <row r="74" spans="2:14" ht="16.5" thickBot="1" x14ac:dyDescent="0.3">
      <c r="B74" s="94" t="s">
        <v>12</v>
      </c>
      <c r="C74" s="93">
        <v>70</v>
      </c>
      <c r="D74" s="93">
        <v>68</v>
      </c>
      <c r="E74" s="93">
        <v>72</v>
      </c>
      <c r="F74" s="93">
        <v>70</v>
      </c>
      <c r="G74" s="93">
        <v>74</v>
      </c>
      <c r="H74" s="97">
        <v>68</v>
      </c>
      <c r="I74" s="166"/>
      <c r="J74" s="167"/>
      <c r="K74" s="167"/>
      <c r="L74" s="167"/>
      <c r="M74" s="167"/>
      <c r="N74" s="168"/>
    </row>
    <row r="75" spans="2:14" ht="15.75" thickBot="1" x14ac:dyDescent="0.3"/>
    <row r="76" spans="2:14" ht="15.75" x14ac:dyDescent="0.25">
      <c r="B76" s="2" t="s">
        <v>0</v>
      </c>
      <c r="C76" s="175" t="s">
        <v>59</v>
      </c>
      <c r="D76" s="176"/>
      <c r="E76" s="177" t="s">
        <v>1</v>
      </c>
      <c r="F76" s="178"/>
      <c r="G76" s="11">
        <v>140</v>
      </c>
      <c r="H76" s="179" t="s">
        <v>2</v>
      </c>
      <c r="I76" s="180"/>
      <c r="J76" s="181"/>
      <c r="K76" s="13">
        <v>140</v>
      </c>
      <c r="L76" s="3"/>
      <c r="M76" s="80" t="s">
        <v>11</v>
      </c>
      <c r="N76" s="98">
        <v>44996</v>
      </c>
    </row>
    <row r="77" spans="2:14" ht="15.75" x14ac:dyDescent="0.25">
      <c r="B77" s="4" t="s">
        <v>3</v>
      </c>
      <c r="C77" s="10">
        <v>16750</v>
      </c>
      <c r="D77" s="169" t="s">
        <v>57</v>
      </c>
      <c r="E77" s="170"/>
      <c r="F77" s="171"/>
      <c r="G77" s="18">
        <v>3704</v>
      </c>
      <c r="H77" s="172" t="s">
        <v>4</v>
      </c>
      <c r="I77" s="173"/>
      <c r="J77" s="174"/>
      <c r="K77" s="10">
        <v>47</v>
      </c>
      <c r="L77" s="15"/>
      <c r="M77" s="15"/>
      <c r="N77" s="16"/>
    </row>
    <row r="78" spans="2:14" ht="15.75" x14ac:dyDescent="0.25">
      <c r="B78" s="4" t="s">
        <v>5</v>
      </c>
      <c r="C78" s="19">
        <v>45</v>
      </c>
      <c r="D78" s="169" t="s">
        <v>8</v>
      </c>
      <c r="E78" s="170"/>
      <c r="F78" s="171"/>
      <c r="G78" s="17">
        <v>0.3</v>
      </c>
      <c r="H78" s="172" t="s">
        <v>9</v>
      </c>
      <c r="I78" s="173"/>
      <c r="J78" s="174"/>
      <c r="K78" s="12">
        <v>1.02</v>
      </c>
      <c r="L78" s="172" t="s">
        <v>6</v>
      </c>
      <c r="M78" s="174"/>
      <c r="N78" s="20">
        <v>3.27</v>
      </c>
    </row>
    <row r="79" spans="2:14" ht="16.5" thickBot="1" x14ac:dyDescent="0.3">
      <c r="B79" s="5"/>
      <c r="C79" s="9"/>
      <c r="D79" s="9"/>
      <c r="E79" s="9"/>
      <c r="F79" s="9"/>
      <c r="G79" s="9"/>
      <c r="H79" s="79"/>
      <c r="I79" s="21"/>
      <c r="J79" s="21"/>
      <c r="K79" s="21"/>
      <c r="L79" s="21"/>
      <c r="M79" s="21"/>
      <c r="N79" s="6"/>
    </row>
    <row r="80" spans="2:14" ht="15.75" x14ac:dyDescent="0.25">
      <c r="B80" s="7" t="s">
        <v>7</v>
      </c>
      <c r="C80" s="1">
        <v>1</v>
      </c>
      <c r="D80" s="1">
        <v>2</v>
      </c>
      <c r="E80" s="1">
        <v>3</v>
      </c>
      <c r="F80" s="1">
        <v>4</v>
      </c>
      <c r="G80" s="1">
        <v>5</v>
      </c>
      <c r="H80" s="77">
        <v>6</v>
      </c>
      <c r="I80" s="160" t="s">
        <v>186</v>
      </c>
      <c r="J80" s="161"/>
      <c r="K80" s="161"/>
      <c r="L80" s="161"/>
      <c r="M80" s="161"/>
      <c r="N80" s="162"/>
    </row>
    <row r="81" spans="2:14" ht="15.75" x14ac:dyDescent="0.25">
      <c r="B81" s="87" t="s">
        <v>10</v>
      </c>
      <c r="C81" s="19">
        <v>46</v>
      </c>
      <c r="D81" s="19">
        <v>50</v>
      </c>
      <c r="E81" s="19">
        <v>47</v>
      </c>
      <c r="F81" s="19">
        <v>46</v>
      </c>
      <c r="G81" s="19">
        <v>52</v>
      </c>
      <c r="H81" s="95">
        <v>46</v>
      </c>
      <c r="I81" s="163"/>
      <c r="J81" s="164"/>
      <c r="K81" s="164"/>
      <c r="L81" s="164"/>
      <c r="M81" s="164"/>
      <c r="N81" s="165"/>
    </row>
    <row r="82" spans="2:14" ht="16.5" thickBot="1" x14ac:dyDescent="0.3">
      <c r="B82" s="94" t="s">
        <v>12</v>
      </c>
      <c r="C82" s="93">
        <v>74</v>
      </c>
      <c r="D82" s="93">
        <v>67</v>
      </c>
      <c r="E82" s="93">
        <v>72</v>
      </c>
      <c r="F82" s="93">
        <v>69</v>
      </c>
      <c r="G82" s="93">
        <v>70</v>
      </c>
      <c r="H82" s="97">
        <v>69</v>
      </c>
      <c r="I82" s="166"/>
      <c r="J82" s="167"/>
      <c r="K82" s="167"/>
      <c r="L82" s="167"/>
      <c r="M82" s="167"/>
      <c r="N82" s="168"/>
    </row>
    <row r="83" spans="2:14" ht="15.75" thickBot="1" x14ac:dyDescent="0.3"/>
    <row r="84" spans="2:14" ht="15.75" x14ac:dyDescent="0.25">
      <c r="B84" s="2" t="s">
        <v>0</v>
      </c>
      <c r="C84" s="175" t="s">
        <v>59</v>
      </c>
      <c r="D84" s="176"/>
      <c r="E84" s="177" t="s">
        <v>1</v>
      </c>
      <c r="F84" s="178"/>
      <c r="G84" s="11">
        <v>140</v>
      </c>
      <c r="H84" s="179" t="s">
        <v>2</v>
      </c>
      <c r="I84" s="180"/>
      <c r="J84" s="181"/>
      <c r="K84" s="13">
        <v>140</v>
      </c>
      <c r="L84" s="3"/>
      <c r="M84" s="80" t="s">
        <v>11</v>
      </c>
      <c r="N84" s="98">
        <v>45002</v>
      </c>
    </row>
    <row r="85" spans="2:14" ht="15.75" x14ac:dyDescent="0.25">
      <c r="B85" s="4" t="s">
        <v>3</v>
      </c>
      <c r="C85" s="10">
        <v>16892</v>
      </c>
      <c r="D85" s="169" t="s">
        <v>57</v>
      </c>
      <c r="E85" s="170"/>
      <c r="F85" s="171"/>
      <c r="G85" s="18">
        <v>3704</v>
      </c>
      <c r="H85" s="172" t="s">
        <v>4</v>
      </c>
      <c r="I85" s="173"/>
      <c r="J85" s="174"/>
      <c r="K85" s="10">
        <v>49</v>
      </c>
      <c r="L85" s="15"/>
      <c r="M85" s="15"/>
      <c r="N85" s="16"/>
    </row>
    <row r="86" spans="2:14" ht="15.75" x14ac:dyDescent="0.25">
      <c r="B86" s="4" t="s">
        <v>5</v>
      </c>
      <c r="C86" s="19">
        <v>47</v>
      </c>
      <c r="D86" s="169" t="s">
        <v>8</v>
      </c>
      <c r="E86" s="170"/>
      <c r="F86" s="171"/>
      <c r="G86" s="17">
        <v>0.3</v>
      </c>
      <c r="H86" s="172" t="s">
        <v>9</v>
      </c>
      <c r="I86" s="173"/>
      <c r="J86" s="174"/>
      <c r="K86" s="12">
        <v>1.02</v>
      </c>
      <c r="L86" s="172" t="s">
        <v>6</v>
      </c>
      <c r="M86" s="174"/>
      <c r="N86" s="20">
        <v>3.27</v>
      </c>
    </row>
    <row r="87" spans="2:14" ht="16.5" thickBot="1" x14ac:dyDescent="0.3">
      <c r="B87" s="5"/>
      <c r="C87" s="9"/>
      <c r="D87" s="9"/>
      <c r="E87" s="9"/>
      <c r="F87" s="9"/>
      <c r="G87" s="9"/>
      <c r="H87" s="79"/>
      <c r="I87" s="21"/>
      <c r="J87" s="21"/>
      <c r="K87" s="21"/>
      <c r="L87" s="21"/>
      <c r="M87" s="21"/>
      <c r="N87" s="6"/>
    </row>
    <row r="88" spans="2:14" ht="15.75" x14ac:dyDescent="0.25">
      <c r="B88" s="7" t="s">
        <v>7</v>
      </c>
      <c r="C88" s="1">
        <v>1</v>
      </c>
      <c r="D88" s="1">
        <v>2</v>
      </c>
      <c r="E88" s="1">
        <v>3</v>
      </c>
      <c r="F88" s="1">
        <v>4</v>
      </c>
      <c r="G88" s="1">
        <v>5</v>
      </c>
      <c r="H88" s="77">
        <v>6</v>
      </c>
      <c r="I88" s="160" t="s">
        <v>187</v>
      </c>
      <c r="J88" s="161"/>
      <c r="K88" s="161"/>
      <c r="L88" s="161"/>
      <c r="M88" s="161"/>
      <c r="N88" s="162"/>
    </row>
    <row r="89" spans="2:14" ht="15.75" x14ac:dyDescent="0.25">
      <c r="B89" s="87" t="s">
        <v>10</v>
      </c>
      <c r="C89" s="19">
        <v>46</v>
      </c>
      <c r="D89" s="19">
        <v>52</v>
      </c>
      <c r="E89" s="19">
        <v>47</v>
      </c>
      <c r="F89" s="19">
        <v>46</v>
      </c>
      <c r="G89" s="19">
        <v>50</v>
      </c>
      <c r="H89" s="95">
        <v>47</v>
      </c>
      <c r="I89" s="163"/>
      <c r="J89" s="164"/>
      <c r="K89" s="164"/>
      <c r="L89" s="164"/>
      <c r="M89" s="164"/>
      <c r="N89" s="165"/>
    </row>
    <row r="90" spans="2:14" ht="16.5" thickBot="1" x14ac:dyDescent="0.3">
      <c r="B90" s="94" t="s">
        <v>12</v>
      </c>
      <c r="C90" s="93">
        <v>68</v>
      </c>
      <c r="D90" s="93">
        <v>67</v>
      </c>
      <c r="E90" s="93">
        <v>70</v>
      </c>
      <c r="F90" s="93">
        <v>70</v>
      </c>
      <c r="G90" s="93">
        <v>72</v>
      </c>
      <c r="H90" s="97">
        <v>65</v>
      </c>
      <c r="I90" s="166"/>
      <c r="J90" s="167"/>
      <c r="K90" s="167"/>
      <c r="L90" s="167"/>
      <c r="M90" s="167"/>
      <c r="N90" s="168"/>
    </row>
    <row r="91" spans="2:14" ht="15.75" thickBot="1" x14ac:dyDescent="0.3"/>
    <row r="92" spans="2:14" ht="15.75" x14ac:dyDescent="0.25">
      <c r="B92" s="2" t="s">
        <v>0</v>
      </c>
      <c r="C92" s="175" t="s">
        <v>59</v>
      </c>
      <c r="D92" s="176"/>
      <c r="E92" s="177" t="s">
        <v>1</v>
      </c>
      <c r="F92" s="178"/>
      <c r="G92" s="11">
        <v>140</v>
      </c>
      <c r="H92" s="179" t="s">
        <v>2</v>
      </c>
      <c r="I92" s="180"/>
      <c r="J92" s="181"/>
      <c r="K92" s="13">
        <v>140</v>
      </c>
      <c r="L92" s="3"/>
      <c r="M92" s="80" t="s">
        <v>11</v>
      </c>
      <c r="N92" s="98">
        <v>45009</v>
      </c>
    </row>
    <row r="93" spans="2:14" ht="15.75" x14ac:dyDescent="0.25">
      <c r="B93" s="4" t="s">
        <v>3</v>
      </c>
      <c r="C93" s="10">
        <v>16947</v>
      </c>
      <c r="D93" s="169" t="s">
        <v>57</v>
      </c>
      <c r="E93" s="170"/>
      <c r="F93" s="171"/>
      <c r="G93" s="18">
        <v>7763</v>
      </c>
      <c r="H93" s="172" t="s">
        <v>4</v>
      </c>
      <c r="I93" s="173"/>
      <c r="J93" s="174"/>
      <c r="K93" s="10">
        <v>60</v>
      </c>
      <c r="L93" s="15"/>
      <c r="M93" s="15"/>
      <c r="N93" s="16"/>
    </row>
    <row r="94" spans="2:14" ht="15.75" x14ac:dyDescent="0.25">
      <c r="B94" s="4" t="s">
        <v>5</v>
      </c>
      <c r="C94" s="19">
        <v>68</v>
      </c>
      <c r="D94" s="169" t="s">
        <v>8</v>
      </c>
      <c r="E94" s="170"/>
      <c r="F94" s="171"/>
      <c r="G94" s="17">
        <v>0.3</v>
      </c>
      <c r="H94" s="172" t="s">
        <v>9</v>
      </c>
      <c r="I94" s="173"/>
      <c r="J94" s="174"/>
      <c r="K94" s="12">
        <v>1.02</v>
      </c>
      <c r="L94" s="172" t="s">
        <v>6</v>
      </c>
      <c r="M94" s="174"/>
      <c r="N94" s="20">
        <v>3.27</v>
      </c>
    </row>
    <row r="95" spans="2:14" ht="16.5" thickBot="1" x14ac:dyDescent="0.3">
      <c r="B95" s="5"/>
      <c r="C95" s="9"/>
      <c r="D95" s="9"/>
      <c r="E95" s="9"/>
      <c r="F95" s="9"/>
      <c r="G95" s="9"/>
      <c r="H95" s="79"/>
      <c r="I95" s="21"/>
      <c r="J95" s="21"/>
      <c r="K95" s="21"/>
      <c r="L95" s="21"/>
      <c r="M95" s="21"/>
      <c r="N95" s="6"/>
    </row>
    <row r="96" spans="2:14" ht="15.75" x14ac:dyDescent="0.25">
      <c r="B96" s="7" t="s">
        <v>7</v>
      </c>
      <c r="C96" s="1">
        <v>1</v>
      </c>
      <c r="D96" s="1">
        <v>2</v>
      </c>
      <c r="E96" s="1">
        <v>3</v>
      </c>
      <c r="F96" s="1">
        <v>4</v>
      </c>
      <c r="G96" s="1">
        <v>5</v>
      </c>
      <c r="H96" s="77">
        <v>6</v>
      </c>
      <c r="I96" s="160" t="s">
        <v>188</v>
      </c>
      <c r="J96" s="161"/>
      <c r="K96" s="161"/>
      <c r="L96" s="161"/>
      <c r="M96" s="161"/>
      <c r="N96" s="162"/>
    </row>
    <row r="97" spans="2:14" ht="15.75" x14ac:dyDescent="0.25">
      <c r="B97" s="87" t="s">
        <v>10</v>
      </c>
      <c r="C97" s="19">
        <v>47</v>
      </c>
      <c r="D97" s="19">
        <v>50</v>
      </c>
      <c r="E97" s="19">
        <v>47</v>
      </c>
      <c r="F97" s="19">
        <v>46</v>
      </c>
      <c r="G97" s="19">
        <v>52</v>
      </c>
      <c r="H97" s="95">
        <v>46</v>
      </c>
      <c r="I97" s="163"/>
      <c r="J97" s="164"/>
      <c r="K97" s="164"/>
      <c r="L97" s="164"/>
      <c r="M97" s="164"/>
      <c r="N97" s="165"/>
    </row>
    <row r="98" spans="2:14" ht="16.5" thickBot="1" x14ac:dyDescent="0.3">
      <c r="B98" s="94" t="s">
        <v>12</v>
      </c>
      <c r="C98" s="93">
        <v>65</v>
      </c>
      <c r="D98" s="93">
        <v>67</v>
      </c>
      <c r="E98" s="93">
        <v>68</v>
      </c>
      <c r="F98" s="93">
        <v>67</v>
      </c>
      <c r="G98" s="93">
        <v>69</v>
      </c>
      <c r="H98" s="97">
        <v>70</v>
      </c>
      <c r="I98" s="166"/>
      <c r="J98" s="167"/>
      <c r="K98" s="167"/>
      <c r="L98" s="167"/>
      <c r="M98" s="167"/>
      <c r="N98" s="168"/>
    </row>
    <row r="99" spans="2:14" ht="15.75" thickBot="1" x14ac:dyDescent="0.3"/>
    <row r="100" spans="2:14" ht="15.75" x14ac:dyDescent="0.25">
      <c r="B100" s="2" t="s">
        <v>0</v>
      </c>
      <c r="C100" s="175" t="s">
        <v>59</v>
      </c>
      <c r="D100" s="176"/>
      <c r="E100" s="177" t="s">
        <v>1</v>
      </c>
      <c r="F100" s="178"/>
      <c r="G100" s="11">
        <v>140</v>
      </c>
      <c r="H100" s="179" t="s">
        <v>2</v>
      </c>
      <c r="I100" s="180"/>
      <c r="J100" s="181"/>
      <c r="K100" s="13">
        <v>140</v>
      </c>
      <c r="L100" s="3"/>
      <c r="M100" s="80" t="s">
        <v>11</v>
      </c>
      <c r="N100" s="98">
        <v>45016</v>
      </c>
    </row>
    <row r="101" spans="2:14" ht="15.75" x14ac:dyDescent="0.25">
      <c r="B101" s="4" t="s">
        <v>3</v>
      </c>
      <c r="C101" s="10">
        <v>17115</v>
      </c>
      <c r="D101" s="169" t="s">
        <v>57</v>
      </c>
      <c r="E101" s="170"/>
      <c r="F101" s="171"/>
      <c r="G101" s="18">
        <v>7860</v>
      </c>
      <c r="H101" s="172" t="s">
        <v>4</v>
      </c>
      <c r="I101" s="173"/>
      <c r="J101" s="174"/>
      <c r="K101" s="10">
        <v>60</v>
      </c>
      <c r="L101" s="15"/>
      <c r="M101" s="15"/>
      <c r="N101" s="16"/>
    </row>
    <row r="102" spans="2:14" ht="15.75" x14ac:dyDescent="0.25">
      <c r="B102" s="4" t="s">
        <v>5</v>
      </c>
      <c r="C102" s="19">
        <v>70</v>
      </c>
      <c r="D102" s="169" t="s">
        <v>8</v>
      </c>
      <c r="E102" s="170"/>
      <c r="F102" s="171"/>
      <c r="G102" s="17">
        <v>0.3</v>
      </c>
      <c r="H102" s="172" t="s">
        <v>9</v>
      </c>
      <c r="I102" s="173"/>
      <c r="J102" s="174"/>
      <c r="K102" s="12">
        <v>0.98</v>
      </c>
      <c r="L102" s="172" t="s">
        <v>6</v>
      </c>
      <c r="M102" s="174"/>
      <c r="N102" s="20">
        <v>3.41</v>
      </c>
    </row>
    <row r="103" spans="2:14" ht="16.5" thickBot="1" x14ac:dyDescent="0.3">
      <c r="B103" s="5"/>
      <c r="C103" s="9"/>
      <c r="D103" s="9"/>
      <c r="E103" s="9"/>
      <c r="F103" s="9"/>
      <c r="G103" s="9"/>
      <c r="H103" s="79"/>
      <c r="I103" s="21"/>
      <c r="J103" s="21"/>
      <c r="K103" s="21"/>
      <c r="L103" s="21"/>
      <c r="M103" s="21"/>
      <c r="N103" s="6"/>
    </row>
    <row r="104" spans="2:14" ht="15.75" x14ac:dyDescent="0.25">
      <c r="B104" s="7" t="s">
        <v>7</v>
      </c>
      <c r="C104" s="1">
        <v>1</v>
      </c>
      <c r="D104" s="1">
        <v>2</v>
      </c>
      <c r="E104" s="1">
        <v>3</v>
      </c>
      <c r="F104" s="1">
        <v>4</v>
      </c>
      <c r="G104" s="1">
        <v>5</v>
      </c>
      <c r="H104" s="77">
        <v>6</v>
      </c>
      <c r="I104" s="160" t="s">
        <v>189</v>
      </c>
      <c r="J104" s="161"/>
      <c r="K104" s="161"/>
      <c r="L104" s="161"/>
      <c r="M104" s="161"/>
      <c r="N104" s="162"/>
    </row>
    <row r="105" spans="2:14" ht="15.75" x14ac:dyDescent="0.25">
      <c r="B105" s="87" t="s">
        <v>10</v>
      </c>
      <c r="C105" s="19">
        <v>51</v>
      </c>
      <c r="D105" s="19">
        <v>52</v>
      </c>
      <c r="E105" s="19">
        <v>54</v>
      </c>
      <c r="F105" s="19">
        <v>53</v>
      </c>
      <c r="G105" s="19">
        <v>55</v>
      </c>
      <c r="H105" s="95">
        <v>52</v>
      </c>
      <c r="I105" s="163"/>
      <c r="J105" s="164"/>
      <c r="K105" s="164"/>
      <c r="L105" s="164"/>
      <c r="M105" s="164"/>
      <c r="N105" s="165"/>
    </row>
    <row r="106" spans="2:14" ht="16.5" thickBot="1" x14ac:dyDescent="0.3">
      <c r="B106" s="94" t="s">
        <v>12</v>
      </c>
      <c r="C106" s="93"/>
      <c r="D106" s="93">
        <v>54</v>
      </c>
      <c r="E106" s="93"/>
      <c r="F106" s="93">
        <v>56</v>
      </c>
      <c r="G106" s="93">
        <v>56</v>
      </c>
      <c r="H106" s="97">
        <v>58</v>
      </c>
      <c r="I106" s="166"/>
      <c r="J106" s="167"/>
      <c r="K106" s="167"/>
      <c r="L106" s="167"/>
      <c r="M106" s="167"/>
      <c r="N106" s="168"/>
    </row>
    <row r="107" spans="2:14" ht="15.75" thickBot="1" x14ac:dyDescent="0.3"/>
    <row r="108" spans="2:14" ht="15.75" x14ac:dyDescent="0.25">
      <c r="B108" s="2" t="s">
        <v>0</v>
      </c>
      <c r="C108" s="175" t="s">
        <v>59</v>
      </c>
      <c r="D108" s="176"/>
      <c r="E108" s="177" t="s">
        <v>1</v>
      </c>
      <c r="F108" s="178"/>
      <c r="G108" s="11">
        <v>140</v>
      </c>
      <c r="H108" s="179" t="s">
        <v>2</v>
      </c>
      <c r="I108" s="180"/>
      <c r="J108" s="181"/>
      <c r="K108" s="13">
        <v>140</v>
      </c>
      <c r="L108" s="3"/>
      <c r="M108" s="80" t="s">
        <v>11</v>
      </c>
      <c r="N108" s="98">
        <v>45025</v>
      </c>
    </row>
    <row r="109" spans="2:14" ht="15.75" x14ac:dyDescent="0.25">
      <c r="B109" s="4" t="s">
        <v>3</v>
      </c>
      <c r="C109" s="10">
        <v>17295</v>
      </c>
      <c r="D109" s="169" t="s">
        <v>57</v>
      </c>
      <c r="E109" s="170"/>
      <c r="F109" s="171"/>
      <c r="G109" s="18"/>
      <c r="H109" s="172" t="s">
        <v>4</v>
      </c>
      <c r="I109" s="173"/>
      <c r="J109" s="174"/>
      <c r="K109" s="10"/>
      <c r="L109" s="15"/>
      <c r="M109" s="15"/>
      <c r="N109" s="16"/>
    </row>
    <row r="110" spans="2:14" ht="15.75" x14ac:dyDescent="0.25">
      <c r="B110" s="4" t="s">
        <v>5</v>
      </c>
      <c r="C110" s="19"/>
      <c r="D110" s="169" t="s">
        <v>8</v>
      </c>
      <c r="E110" s="170"/>
      <c r="F110" s="171"/>
      <c r="G110" s="17"/>
      <c r="H110" s="172" t="s">
        <v>9</v>
      </c>
      <c r="I110" s="173"/>
      <c r="J110" s="174"/>
      <c r="K110" s="12"/>
      <c r="L110" s="172" t="s">
        <v>6</v>
      </c>
      <c r="M110" s="174"/>
      <c r="N110" s="20">
        <v>3.41</v>
      </c>
    </row>
    <row r="111" spans="2:14" ht="16.5" thickBot="1" x14ac:dyDescent="0.3">
      <c r="B111" s="5"/>
      <c r="C111" s="9"/>
      <c r="D111" s="9"/>
      <c r="E111" s="9"/>
      <c r="F111" s="9"/>
      <c r="G111" s="9"/>
      <c r="H111" s="79"/>
      <c r="I111" s="21"/>
      <c r="J111" s="21"/>
      <c r="K111" s="21"/>
      <c r="L111" s="21"/>
      <c r="M111" s="21"/>
      <c r="N111" s="6"/>
    </row>
    <row r="112" spans="2:14" ht="15.75" x14ac:dyDescent="0.25">
      <c r="B112" s="7" t="s">
        <v>7</v>
      </c>
      <c r="C112" s="1">
        <v>1</v>
      </c>
      <c r="D112" s="1">
        <v>2</v>
      </c>
      <c r="E112" s="1">
        <v>3</v>
      </c>
      <c r="F112" s="1">
        <v>4</v>
      </c>
      <c r="G112" s="1">
        <v>5</v>
      </c>
      <c r="H112" s="77">
        <v>6</v>
      </c>
      <c r="I112" s="160" t="s">
        <v>190</v>
      </c>
      <c r="J112" s="161"/>
      <c r="K112" s="161"/>
      <c r="L112" s="161"/>
      <c r="M112" s="161"/>
      <c r="N112" s="162"/>
    </row>
    <row r="113" spans="2:14" ht="15.75" x14ac:dyDescent="0.25">
      <c r="B113" s="87" t="s">
        <v>10</v>
      </c>
      <c r="C113" s="19"/>
      <c r="D113" s="19"/>
      <c r="E113" s="19"/>
      <c r="F113" s="19"/>
      <c r="G113" s="19"/>
      <c r="H113" s="95"/>
      <c r="I113" s="163"/>
      <c r="J113" s="164"/>
      <c r="K113" s="164"/>
      <c r="L113" s="164"/>
      <c r="M113" s="164"/>
      <c r="N113" s="165"/>
    </row>
    <row r="114" spans="2:14" ht="16.5" thickBot="1" x14ac:dyDescent="0.3">
      <c r="B114" s="94" t="s">
        <v>12</v>
      </c>
      <c r="C114" s="93"/>
      <c r="D114" s="93"/>
      <c r="E114" s="93"/>
      <c r="F114" s="93"/>
      <c r="G114" s="93"/>
      <c r="H114" s="97"/>
      <c r="I114" s="166"/>
      <c r="J114" s="167"/>
      <c r="K114" s="167"/>
      <c r="L114" s="167"/>
      <c r="M114" s="167"/>
      <c r="N114" s="168"/>
    </row>
    <row r="115" spans="2:14" ht="15.75" thickBot="1" x14ac:dyDescent="0.3"/>
    <row r="116" spans="2:14" ht="15.75" x14ac:dyDescent="0.25">
      <c r="B116" s="2" t="s">
        <v>0</v>
      </c>
      <c r="C116" s="175" t="s">
        <v>59</v>
      </c>
      <c r="D116" s="176"/>
      <c r="E116" s="177" t="s">
        <v>1</v>
      </c>
      <c r="F116" s="178"/>
      <c r="G116" s="11">
        <v>140</v>
      </c>
      <c r="H116" s="179" t="s">
        <v>2</v>
      </c>
      <c r="I116" s="180"/>
      <c r="J116" s="181"/>
      <c r="K116" s="13">
        <v>140</v>
      </c>
      <c r="L116" s="3"/>
      <c r="M116" s="80" t="s">
        <v>11</v>
      </c>
      <c r="N116" s="98">
        <v>45032</v>
      </c>
    </row>
    <row r="117" spans="2:14" ht="15.75" x14ac:dyDescent="0.25">
      <c r="B117" s="4" t="s">
        <v>3</v>
      </c>
      <c r="C117" s="10">
        <v>17362</v>
      </c>
      <c r="D117" s="169" t="s">
        <v>57</v>
      </c>
      <c r="E117" s="170"/>
      <c r="F117" s="171"/>
      <c r="G117" s="18"/>
      <c r="H117" s="172" t="s">
        <v>4</v>
      </c>
      <c r="I117" s="173"/>
      <c r="J117" s="174"/>
      <c r="K117" s="10"/>
      <c r="L117" s="15"/>
      <c r="M117" s="15"/>
      <c r="N117" s="16"/>
    </row>
    <row r="118" spans="2:14" ht="15.75" x14ac:dyDescent="0.25">
      <c r="B118" s="4" t="s">
        <v>5</v>
      </c>
      <c r="C118" s="19"/>
      <c r="D118" s="169" t="s">
        <v>8</v>
      </c>
      <c r="E118" s="170"/>
      <c r="F118" s="171"/>
      <c r="G118" s="17"/>
      <c r="H118" s="172" t="s">
        <v>9</v>
      </c>
      <c r="I118" s="173"/>
      <c r="J118" s="174"/>
      <c r="K118" s="12"/>
      <c r="L118" s="172" t="s">
        <v>6</v>
      </c>
      <c r="M118" s="174"/>
      <c r="N118" s="20">
        <v>3.41</v>
      </c>
    </row>
    <row r="119" spans="2:14" ht="16.5" thickBot="1" x14ac:dyDescent="0.3">
      <c r="B119" s="5"/>
      <c r="C119" s="9"/>
      <c r="D119" s="9"/>
      <c r="E119" s="9"/>
      <c r="F119" s="9"/>
      <c r="G119" s="9"/>
      <c r="H119" s="79"/>
      <c r="I119" s="21"/>
      <c r="J119" s="21"/>
      <c r="K119" s="21"/>
      <c r="L119" s="21"/>
      <c r="M119" s="21"/>
      <c r="N119" s="6"/>
    </row>
    <row r="120" spans="2:14" ht="15.75" x14ac:dyDescent="0.25">
      <c r="B120" s="7" t="s">
        <v>7</v>
      </c>
      <c r="C120" s="1">
        <v>1</v>
      </c>
      <c r="D120" s="1">
        <v>2</v>
      </c>
      <c r="E120" s="1">
        <v>3</v>
      </c>
      <c r="F120" s="1">
        <v>4</v>
      </c>
      <c r="G120" s="1">
        <v>5</v>
      </c>
      <c r="H120" s="77">
        <v>6</v>
      </c>
      <c r="I120" s="160" t="s">
        <v>191</v>
      </c>
      <c r="J120" s="161"/>
      <c r="K120" s="161"/>
      <c r="L120" s="161"/>
      <c r="M120" s="161"/>
      <c r="N120" s="162"/>
    </row>
    <row r="121" spans="2:14" ht="15.75" x14ac:dyDescent="0.25">
      <c r="B121" s="87" t="s">
        <v>10</v>
      </c>
      <c r="C121" s="19"/>
      <c r="D121" s="19"/>
      <c r="E121" s="19"/>
      <c r="F121" s="19"/>
      <c r="G121" s="19"/>
      <c r="H121" s="95"/>
      <c r="I121" s="163"/>
      <c r="J121" s="164"/>
      <c r="K121" s="164"/>
      <c r="L121" s="164"/>
      <c r="M121" s="164"/>
      <c r="N121" s="165"/>
    </row>
    <row r="122" spans="2:14" ht="16.5" thickBot="1" x14ac:dyDescent="0.3">
      <c r="B122" s="94" t="s">
        <v>12</v>
      </c>
      <c r="C122" s="93"/>
      <c r="D122" s="93"/>
      <c r="E122" s="93"/>
      <c r="F122" s="93"/>
      <c r="G122" s="93"/>
      <c r="H122" s="97"/>
      <c r="I122" s="166"/>
      <c r="J122" s="167"/>
      <c r="K122" s="167"/>
      <c r="L122" s="167"/>
      <c r="M122" s="167"/>
      <c r="N122" s="168"/>
    </row>
    <row r="123" spans="2:14" ht="15.75" thickBot="1" x14ac:dyDescent="0.3"/>
    <row r="124" spans="2:14" ht="15.75" x14ac:dyDescent="0.25">
      <c r="B124" s="2" t="s">
        <v>0</v>
      </c>
      <c r="C124" s="175" t="s">
        <v>59</v>
      </c>
      <c r="D124" s="176"/>
      <c r="E124" s="177" t="s">
        <v>1</v>
      </c>
      <c r="F124" s="178"/>
      <c r="G124" s="11">
        <v>140</v>
      </c>
      <c r="H124" s="179" t="s">
        <v>2</v>
      </c>
      <c r="I124" s="180"/>
      <c r="J124" s="181"/>
      <c r="K124" s="13">
        <v>140</v>
      </c>
      <c r="L124" s="3"/>
      <c r="M124" s="80" t="s">
        <v>11</v>
      </c>
      <c r="N124" s="98">
        <v>45038</v>
      </c>
    </row>
    <row r="125" spans="2:14" ht="15.75" x14ac:dyDescent="0.25">
      <c r="B125" s="4" t="s">
        <v>3</v>
      </c>
      <c r="C125" s="10">
        <v>17499</v>
      </c>
      <c r="D125" s="169" t="s">
        <v>57</v>
      </c>
      <c r="E125" s="170"/>
      <c r="F125" s="171"/>
      <c r="G125" s="18">
        <v>2146</v>
      </c>
      <c r="H125" s="172" t="s">
        <v>4</v>
      </c>
      <c r="I125" s="173"/>
      <c r="J125" s="174"/>
      <c r="K125" s="10">
        <v>40</v>
      </c>
      <c r="L125" s="15"/>
      <c r="M125" s="15"/>
      <c r="N125" s="16"/>
    </row>
    <row r="126" spans="2:14" ht="15.75" x14ac:dyDescent="0.25">
      <c r="B126" s="4" t="s">
        <v>5</v>
      </c>
      <c r="C126" s="19">
        <v>34</v>
      </c>
      <c r="D126" s="169" t="s">
        <v>8</v>
      </c>
      <c r="E126" s="170"/>
      <c r="F126" s="171"/>
      <c r="G126" s="17">
        <v>0.3</v>
      </c>
      <c r="H126" s="172" t="s">
        <v>9</v>
      </c>
      <c r="I126" s="173"/>
      <c r="J126" s="174"/>
      <c r="K126" s="12">
        <v>1.02</v>
      </c>
      <c r="L126" s="172" t="s">
        <v>6</v>
      </c>
      <c r="M126" s="174"/>
      <c r="N126" s="20">
        <v>3.41</v>
      </c>
    </row>
    <row r="127" spans="2:14" ht="16.5" thickBot="1" x14ac:dyDescent="0.3">
      <c r="B127" s="5"/>
      <c r="C127" s="9"/>
      <c r="D127" s="9"/>
      <c r="E127" s="9"/>
      <c r="F127" s="9"/>
      <c r="G127" s="9"/>
      <c r="H127" s="79"/>
      <c r="I127" s="21"/>
      <c r="J127" s="21"/>
      <c r="K127" s="21"/>
      <c r="L127" s="21"/>
      <c r="M127" s="21"/>
      <c r="N127" s="6"/>
    </row>
    <row r="128" spans="2:14" ht="15.75" x14ac:dyDescent="0.25">
      <c r="B128" s="7" t="s">
        <v>7</v>
      </c>
      <c r="C128" s="1">
        <v>1</v>
      </c>
      <c r="D128" s="1">
        <v>2</v>
      </c>
      <c r="E128" s="1">
        <v>3</v>
      </c>
      <c r="F128" s="1">
        <v>4</v>
      </c>
      <c r="G128" s="1">
        <v>5</v>
      </c>
      <c r="H128" s="77">
        <v>6</v>
      </c>
      <c r="I128" s="160" t="s">
        <v>192</v>
      </c>
      <c r="J128" s="161"/>
      <c r="K128" s="161"/>
      <c r="L128" s="161"/>
      <c r="M128" s="161"/>
      <c r="N128" s="162"/>
    </row>
    <row r="129" spans="2:14" ht="15.75" x14ac:dyDescent="0.25">
      <c r="B129" s="87" t="s">
        <v>10</v>
      </c>
      <c r="C129" s="19">
        <v>52</v>
      </c>
      <c r="D129" s="19">
        <v>52</v>
      </c>
      <c r="E129" s="19">
        <v>46</v>
      </c>
      <c r="F129" s="19">
        <v>51</v>
      </c>
      <c r="G129" s="19">
        <v>55</v>
      </c>
      <c r="H129" s="95">
        <v>50</v>
      </c>
      <c r="I129" s="163"/>
      <c r="J129" s="164"/>
      <c r="K129" s="164"/>
      <c r="L129" s="164"/>
      <c r="M129" s="164"/>
      <c r="N129" s="165"/>
    </row>
    <row r="130" spans="2:14" ht="16.5" thickBot="1" x14ac:dyDescent="0.3">
      <c r="B130" s="94" t="s">
        <v>12</v>
      </c>
      <c r="C130" s="93"/>
      <c r="D130" s="93">
        <v>55</v>
      </c>
      <c r="E130" s="93"/>
      <c r="F130" s="93"/>
      <c r="G130" s="93">
        <v>56</v>
      </c>
      <c r="H130" s="97"/>
      <c r="I130" s="166"/>
      <c r="J130" s="167"/>
      <c r="K130" s="167"/>
      <c r="L130" s="167"/>
      <c r="M130" s="167"/>
      <c r="N130" s="168"/>
    </row>
    <row r="131" spans="2:14" ht="15.75" thickBot="1" x14ac:dyDescent="0.3"/>
    <row r="132" spans="2:14" ht="15.75" x14ac:dyDescent="0.25">
      <c r="B132" s="2" t="s">
        <v>0</v>
      </c>
      <c r="C132" s="175" t="s">
        <v>59</v>
      </c>
      <c r="D132" s="176"/>
      <c r="E132" s="177" t="s">
        <v>1</v>
      </c>
      <c r="F132" s="178"/>
      <c r="G132" s="11">
        <v>140</v>
      </c>
      <c r="H132" s="179" t="s">
        <v>2</v>
      </c>
      <c r="I132" s="180"/>
      <c r="J132" s="181"/>
      <c r="K132" s="13">
        <v>140</v>
      </c>
      <c r="L132" s="3"/>
      <c r="M132" s="80" t="s">
        <v>11</v>
      </c>
      <c r="N132" s="98">
        <v>45045</v>
      </c>
    </row>
    <row r="133" spans="2:14" ht="15.75" x14ac:dyDescent="0.25">
      <c r="B133" s="4" t="s">
        <v>3</v>
      </c>
      <c r="C133" s="10">
        <v>17584</v>
      </c>
      <c r="D133" s="169" t="s">
        <v>57</v>
      </c>
      <c r="E133" s="170"/>
      <c r="F133" s="171"/>
      <c r="G133" s="18"/>
      <c r="H133" s="172" t="s">
        <v>4</v>
      </c>
      <c r="I133" s="173"/>
      <c r="J133" s="174"/>
      <c r="K133" s="10"/>
      <c r="L133" s="15"/>
      <c r="M133" s="15"/>
      <c r="N133" s="16"/>
    </row>
    <row r="134" spans="2:14" ht="15.75" x14ac:dyDescent="0.25">
      <c r="B134" s="4" t="s">
        <v>5</v>
      </c>
      <c r="C134" s="19"/>
      <c r="D134" s="169" t="s">
        <v>8</v>
      </c>
      <c r="E134" s="170"/>
      <c r="F134" s="171"/>
      <c r="G134" s="17">
        <v>0.3</v>
      </c>
      <c r="H134" s="172" t="s">
        <v>9</v>
      </c>
      <c r="I134" s="173"/>
      <c r="J134" s="174"/>
      <c r="K134" s="12">
        <v>1.02</v>
      </c>
      <c r="L134" s="172" t="s">
        <v>6</v>
      </c>
      <c r="M134" s="174"/>
      <c r="N134" s="20">
        <v>3.41</v>
      </c>
    </row>
    <row r="135" spans="2:14" ht="16.5" thickBot="1" x14ac:dyDescent="0.3">
      <c r="B135" s="5"/>
      <c r="C135" s="9"/>
      <c r="D135" s="9"/>
      <c r="E135" s="9"/>
      <c r="F135" s="9"/>
      <c r="G135" s="9"/>
      <c r="H135" s="79"/>
      <c r="I135" s="21"/>
      <c r="J135" s="21"/>
      <c r="K135" s="21"/>
      <c r="L135" s="21"/>
      <c r="M135" s="21"/>
      <c r="N135" s="6"/>
    </row>
    <row r="136" spans="2:14" ht="15.75" x14ac:dyDescent="0.25">
      <c r="B136" s="7" t="s">
        <v>7</v>
      </c>
      <c r="C136" s="1">
        <v>1</v>
      </c>
      <c r="D136" s="1">
        <v>2</v>
      </c>
      <c r="E136" s="1">
        <v>3</v>
      </c>
      <c r="F136" s="1">
        <v>4</v>
      </c>
      <c r="G136" s="1">
        <v>5</v>
      </c>
      <c r="H136" s="77">
        <v>6</v>
      </c>
      <c r="I136" s="160" t="s">
        <v>193</v>
      </c>
      <c r="J136" s="161"/>
      <c r="K136" s="161"/>
      <c r="L136" s="161"/>
      <c r="M136" s="161"/>
      <c r="N136" s="162"/>
    </row>
    <row r="137" spans="2:14" ht="15.75" x14ac:dyDescent="0.25">
      <c r="B137" s="87" t="s">
        <v>10</v>
      </c>
      <c r="C137" s="19"/>
      <c r="D137" s="19"/>
      <c r="E137" s="19"/>
      <c r="F137" s="19"/>
      <c r="G137" s="19"/>
      <c r="H137" s="95"/>
      <c r="I137" s="163"/>
      <c r="J137" s="164"/>
      <c r="K137" s="164"/>
      <c r="L137" s="164"/>
      <c r="M137" s="164"/>
      <c r="N137" s="165"/>
    </row>
    <row r="138" spans="2:14" ht="16.5" thickBot="1" x14ac:dyDescent="0.3">
      <c r="B138" s="94" t="s">
        <v>12</v>
      </c>
      <c r="C138" s="93"/>
      <c r="D138" s="93"/>
      <c r="E138" s="93"/>
      <c r="F138" s="93"/>
      <c r="G138" s="93"/>
      <c r="H138" s="97"/>
      <c r="I138" s="166"/>
      <c r="J138" s="167"/>
      <c r="K138" s="167"/>
      <c r="L138" s="167"/>
      <c r="M138" s="167"/>
      <c r="N138" s="168"/>
    </row>
    <row r="139" spans="2:14" ht="15.75" thickBot="1" x14ac:dyDescent="0.3"/>
    <row r="140" spans="2:14" ht="15.75" x14ac:dyDescent="0.25">
      <c r="B140" s="2" t="s">
        <v>0</v>
      </c>
      <c r="C140" s="175" t="s">
        <v>59</v>
      </c>
      <c r="D140" s="176"/>
      <c r="E140" s="177" t="s">
        <v>1</v>
      </c>
      <c r="F140" s="178"/>
      <c r="G140" s="11">
        <v>140</v>
      </c>
      <c r="H140" s="179" t="s">
        <v>2</v>
      </c>
      <c r="I140" s="180"/>
      <c r="J140" s="181"/>
      <c r="K140" s="13">
        <v>140</v>
      </c>
      <c r="L140" s="3"/>
      <c r="M140" s="80" t="s">
        <v>11</v>
      </c>
      <c r="N140" s="98">
        <v>45053</v>
      </c>
    </row>
    <row r="141" spans="2:14" ht="15.75" x14ac:dyDescent="0.25">
      <c r="B141" s="4" t="s">
        <v>3</v>
      </c>
      <c r="C141" s="10">
        <v>17630</v>
      </c>
      <c r="D141" s="169" t="s">
        <v>57</v>
      </c>
      <c r="E141" s="170"/>
      <c r="F141" s="171"/>
      <c r="G141" s="18">
        <v>11070</v>
      </c>
      <c r="H141" s="172" t="s">
        <v>4</v>
      </c>
      <c r="I141" s="173"/>
      <c r="J141" s="174"/>
      <c r="K141" s="10">
        <v>67</v>
      </c>
      <c r="L141" s="15"/>
      <c r="M141" s="15"/>
      <c r="N141" s="16"/>
    </row>
    <row r="142" spans="2:14" ht="15.75" x14ac:dyDescent="0.25">
      <c r="B142" s="4" t="s">
        <v>5</v>
      </c>
      <c r="C142" s="19">
        <v>83</v>
      </c>
      <c r="D142" s="169" t="s">
        <v>8</v>
      </c>
      <c r="E142" s="170"/>
      <c r="F142" s="171"/>
      <c r="G142" s="17">
        <v>0.3</v>
      </c>
      <c r="H142" s="172" t="s">
        <v>9</v>
      </c>
      <c r="I142" s="173"/>
      <c r="J142" s="174"/>
      <c r="K142" s="12">
        <v>1.02</v>
      </c>
      <c r="L142" s="172" t="s">
        <v>6</v>
      </c>
      <c r="M142" s="174"/>
      <c r="N142" s="20">
        <v>3.41</v>
      </c>
    </row>
    <row r="143" spans="2:14" ht="16.5" thickBot="1" x14ac:dyDescent="0.3">
      <c r="B143" s="5"/>
      <c r="C143" s="9"/>
      <c r="D143" s="9"/>
      <c r="E143" s="9"/>
      <c r="F143" s="9"/>
      <c r="G143" s="9"/>
      <c r="H143" s="79"/>
      <c r="I143" s="21"/>
      <c r="J143" s="21"/>
      <c r="K143" s="21"/>
      <c r="L143" s="21"/>
      <c r="M143" s="21"/>
      <c r="N143" s="6"/>
    </row>
    <row r="144" spans="2:14" ht="15.75" x14ac:dyDescent="0.25">
      <c r="B144" s="7" t="s">
        <v>7</v>
      </c>
      <c r="C144" s="1">
        <v>1</v>
      </c>
      <c r="D144" s="1">
        <v>2</v>
      </c>
      <c r="E144" s="1">
        <v>3</v>
      </c>
      <c r="F144" s="1">
        <v>4</v>
      </c>
      <c r="G144" s="1">
        <v>5</v>
      </c>
      <c r="H144" s="77">
        <v>6</v>
      </c>
      <c r="I144" s="160" t="s">
        <v>194</v>
      </c>
      <c r="J144" s="161"/>
      <c r="K144" s="161"/>
      <c r="L144" s="161"/>
      <c r="M144" s="161"/>
      <c r="N144" s="162"/>
    </row>
    <row r="145" spans="2:14" ht="15.75" x14ac:dyDescent="0.25">
      <c r="B145" s="87" t="s">
        <v>10</v>
      </c>
      <c r="C145" s="19">
        <v>50</v>
      </c>
      <c r="D145" s="19">
        <v>52</v>
      </c>
      <c r="E145" s="19">
        <v>45</v>
      </c>
      <c r="F145" s="19">
        <v>52</v>
      </c>
      <c r="G145" s="19">
        <v>54</v>
      </c>
      <c r="H145" s="95">
        <v>46</v>
      </c>
      <c r="I145" s="163"/>
      <c r="J145" s="164"/>
      <c r="K145" s="164"/>
      <c r="L145" s="164"/>
      <c r="M145" s="164"/>
      <c r="N145" s="165"/>
    </row>
    <row r="146" spans="2:14" ht="16.5" thickBot="1" x14ac:dyDescent="0.3">
      <c r="B146" s="94" t="s">
        <v>12</v>
      </c>
      <c r="C146" s="93"/>
      <c r="D146" s="93">
        <v>54</v>
      </c>
      <c r="E146" s="93"/>
      <c r="F146" s="93"/>
      <c r="G146" s="93">
        <v>52</v>
      </c>
      <c r="H146" s="97"/>
      <c r="I146" s="166"/>
      <c r="J146" s="167"/>
      <c r="K146" s="167"/>
      <c r="L146" s="167"/>
      <c r="M146" s="167"/>
      <c r="N146" s="168"/>
    </row>
    <row r="148" spans="2:14" ht="15.75" thickBot="1" x14ac:dyDescent="0.3"/>
    <row r="149" spans="2:14" ht="15.75" x14ac:dyDescent="0.25">
      <c r="B149" s="2" t="s">
        <v>0</v>
      </c>
      <c r="C149" s="175" t="s">
        <v>59</v>
      </c>
      <c r="D149" s="176"/>
      <c r="E149" s="177" t="s">
        <v>1</v>
      </c>
      <c r="F149" s="178"/>
      <c r="G149" s="11">
        <v>140</v>
      </c>
      <c r="H149" s="179" t="s">
        <v>2</v>
      </c>
      <c r="I149" s="180"/>
      <c r="J149" s="181"/>
      <c r="K149" s="13">
        <v>140</v>
      </c>
      <c r="L149" s="3"/>
      <c r="M149" s="80" t="s">
        <v>11</v>
      </c>
      <c r="N149" s="98">
        <v>45060</v>
      </c>
    </row>
    <row r="150" spans="2:14" ht="15.75" x14ac:dyDescent="0.25">
      <c r="B150" s="4" t="s">
        <v>3</v>
      </c>
      <c r="C150" s="10">
        <v>17794</v>
      </c>
      <c r="D150" s="169" t="s">
        <v>57</v>
      </c>
      <c r="E150" s="170"/>
      <c r="F150" s="171"/>
      <c r="G150" s="18">
        <v>10400</v>
      </c>
      <c r="H150" s="172" t="s">
        <v>4</v>
      </c>
      <c r="I150" s="173"/>
      <c r="J150" s="174"/>
      <c r="K150" s="10">
        <v>65</v>
      </c>
      <c r="L150" s="15"/>
      <c r="M150" s="15"/>
      <c r="N150" s="16"/>
    </row>
    <row r="151" spans="2:14" ht="15.75" x14ac:dyDescent="0.25">
      <c r="B151" s="4" t="s">
        <v>5</v>
      </c>
      <c r="C151" s="19">
        <v>78</v>
      </c>
      <c r="D151" s="169" t="s">
        <v>8</v>
      </c>
      <c r="E151" s="170"/>
      <c r="F151" s="171"/>
      <c r="G151" s="17">
        <v>0.3</v>
      </c>
      <c r="H151" s="172" t="s">
        <v>9</v>
      </c>
      <c r="I151" s="173"/>
      <c r="J151" s="174"/>
      <c r="K151" s="12">
        <v>1.02</v>
      </c>
      <c r="L151" s="172" t="s">
        <v>6</v>
      </c>
      <c r="M151" s="174"/>
      <c r="N151" s="20">
        <v>3.44</v>
      </c>
    </row>
    <row r="152" spans="2:14" ht="16.5" thickBot="1" x14ac:dyDescent="0.3">
      <c r="B152" s="5"/>
      <c r="C152" s="9"/>
      <c r="D152" s="9"/>
      <c r="E152" s="9"/>
      <c r="F152" s="9"/>
      <c r="G152" s="9"/>
      <c r="H152" s="79"/>
      <c r="I152" s="21"/>
      <c r="J152" s="21"/>
      <c r="K152" s="21"/>
      <c r="L152" s="21"/>
      <c r="M152" s="21"/>
      <c r="N152" s="6"/>
    </row>
    <row r="153" spans="2:14" ht="15.75" x14ac:dyDescent="0.25">
      <c r="B153" s="7" t="s">
        <v>7</v>
      </c>
      <c r="C153" s="1">
        <v>1</v>
      </c>
      <c r="D153" s="1">
        <v>2</v>
      </c>
      <c r="E153" s="1">
        <v>3</v>
      </c>
      <c r="F153" s="1">
        <v>4</v>
      </c>
      <c r="G153" s="1">
        <v>5</v>
      </c>
      <c r="H153" s="77">
        <v>6</v>
      </c>
      <c r="I153" s="160" t="s">
        <v>195</v>
      </c>
      <c r="J153" s="161"/>
      <c r="K153" s="161"/>
      <c r="L153" s="161"/>
      <c r="M153" s="161"/>
      <c r="N153" s="162"/>
    </row>
    <row r="154" spans="2:14" ht="15.75" x14ac:dyDescent="0.25">
      <c r="B154" s="87" t="s">
        <v>10</v>
      </c>
      <c r="C154" s="19">
        <v>50</v>
      </c>
      <c r="D154" s="19">
        <v>52</v>
      </c>
      <c r="E154" s="19">
        <v>45</v>
      </c>
      <c r="F154" s="19">
        <v>50</v>
      </c>
      <c r="G154" s="19">
        <v>52</v>
      </c>
      <c r="H154" s="95">
        <v>48</v>
      </c>
      <c r="I154" s="163"/>
      <c r="J154" s="164"/>
      <c r="K154" s="164"/>
      <c r="L154" s="164"/>
      <c r="M154" s="164"/>
      <c r="N154" s="165"/>
    </row>
    <row r="155" spans="2:14" ht="16.5" thickBot="1" x14ac:dyDescent="0.3">
      <c r="B155" s="94" t="s">
        <v>12</v>
      </c>
      <c r="C155" s="93"/>
      <c r="D155" s="93"/>
      <c r="E155" s="93"/>
      <c r="F155" s="93"/>
      <c r="G155" s="93"/>
      <c r="H155" s="97"/>
      <c r="I155" s="166"/>
      <c r="J155" s="167"/>
      <c r="K155" s="167"/>
      <c r="L155" s="167"/>
      <c r="M155" s="167"/>
      <c r="N155" s="168"/>
    </row>
    <row r="157" spans="2:14" ht="15.75" thickBot="1" x14ac:dyDescent="0.3"/>
    <row r="158" spans="2:14" ht="15.75" x14ac:dyDescent="0.25">
      <c r="B158" s="2" t="s">
        <v>0</v>
      </c>
      <c r="C158" s="175" t="s">
        <v>59</v>
      </c>
      <c r="D158" s="176"/>
      <c r="E158" s="177" t="s">
        <v>1</v>
      </c>
      <c r="F158" s="178"/>
      <c r="G158" s="11">
        <v>140</v>
      </c>
      <c r="H158" s="179" t="s">
        <v>2</v>
      </c>
      <c r="I158" s="180"/>
      <c r="J158" s="181"/>
      <c r="K158" s="13">
        <v>140</v>
      </c>
      <c r="L158" s="3"/>
      <c r="M158" s="80" t="s">
        <v>11</v>
      </c>
      <c r="N158" s="98">
        <v>45067</v>
      </c>
    </row>
    <row r="159" spans="2:14" ht="15.75" x14ac:dyDescent="0.25">
      <c r="B159" s="4" t="s">
        <v>3</v>
      </c>
      <c r="C159" s="10">
        <v>17958</v>
      </c>
      <c r="D159" s="169" t="s">
        <v>57</v>
      </c>
      <c r="E159" s="170"/>
      <c r="F159" s="171"/>
      <c r="G159" s="18">
        <v>10345</v>
      </c>
      <c r="H159" s="172" t="s">
        <v>4</v>
      </c>
      <c r="I159" s="173"/>
      <c r="J159" s="174"/>
      <c r="K159" s="10">
        <v>65</v>
      </c>
      <c r="L159" s="15"/>
      <c r="M159" s="15"/>
      <c r="N159" s="16"/>
    </row>
    <row r="160" spans="2:14" ht="15.75" x14ac:dyDescent="0.25">
      <c r="B160" s="4" t="s">
        <v>5</v>
      </c>
      <c r="C160" s="19">
        <v>78</v>
      </c>
      <c r="D160" s="169" t="s">
        <v>8</v>
      </c>
      <c r="E160" s="170"/>
      <c r="F160" s="171"/>
      <c r="G160" s="17">
        <v>0.3</v>
      </c>
      <c r="H160" s="172" t="s">
        <v>9</v>
      </c>
      <c r="I160" s="173"/>
      <c r="J160" s="174"/>
      <c r="K160" s="12">
        <v>1.02</v>
      </c>
      <c r="L160" s="172" t="s">
        <v>6</v>
      </c>
      <c r="M160" s="174"/>
      <c r="N160" s="20">
        <v>3.44</v>
      </c>
    </row>
    <row r="161" spans="2:14" ht="16.5" thickBot="1" x14ac:dyDescent="0.3">
      <c r="B161" s="5"/>
      <c r="C161" s="9"/>
      <c r="D161" s="9"/>
      <c r="E161" s="9"/>
      <c r="F161" s="9"/>
      <c r="G161" s="9"/>
      <c r="H161" s="79"/>
      <c r="I161" s="21"/>
      <c r="J161" s="21"/>
      <c r="K161" s="21"/>
      <c r="L161" s="21"/>
      <c r="M161" s="21"/>
      <c r="N161" s="6"/>
    </row>
    <row r="162" spans="2:14" ht="15.75" x14ac:dyDescent="0.25">
      <c r="B162" s="7" t="s">
        <v>7</v>
      </c>
      <c r="C162" s="1">
        <v>1</v>
      </c>
      <c r="D162" s="1">
        <v>2</v>
      </c>
      <c r="E162" s="1">
        <v>3</v>
      </c>
      <c r="F162" s="1">
        <v>4</v>
      </c>
      <c r="G162" s="1">
        <v>5</v>
      </c>
      <c r="H162" s="77">
        <v>6</v>
      </c>
      <c r="I162" s="160" t="s">
        <v>196</v>
      </c>
      <c r="J162" s="161"/>
      <c r="K162" s="161"/>
      <c r="L162" s="161"/>
      <c r="M162" s="161"/>
      <c r="N162" s="162"/>
    </row>
    <row r="163" spans="2:14" ht="15.75" x14ac:dyDescent="0.25">
      <c r="B163" s="87" t="s">
        <v>10</v>
      </c>
      <c r="C163" s="19">
        <v>52</v>
      </c>
      <c r="D163" s="19">
        <v>48</v>
      </c>
      <c r="E163" s="19">
        <v>50</v>
      </c>
      <c r="F163" s="19">
        <v>50</v>
      </c>
      <c r="G163" s="19">
        <v>52</v>
      </c>
      <c r="H163" s="95">
        <v>50</v>
      </c>
      <c r="I163" s="163"/>
      <c r="J163" s="164"/>
      <c r="K163" s="164"/>
      <c r="L163" s="164"/>
      <c r="M163" s="164"/>
      <c r="N163" s="165"/>
    </row>
    <row r="164" spans="2:14" ht="16.5" thickBot="1" x14ac:dyDescent="0.3">
      <c r="B164" s="94" t="s">
        <v>12</v>
      </c>
      <c r="C164" s="93"/>
      <c r="D164" s="93"/>
      <c r="E164" s="93"/>
      <c r="F164" s="93"/>
      <c r="G164" s="93"/>
      <c r="H164" s="97"/>
      <c r="I164" s="166"/>
      <c r="J164" s="167"/>
      <c r="K164" s="167"/>
      <c r="L164" s="167"/>
      <c r="M164" s="167"/>
      <c r="N164" s="168"/>
    </row>
    <row r="166" spans="2:14" ht="15.75" thickBot="1" x14ac:dyDescent="0.3"/>
    <row r="167" spans="2:14" ht="15.75" x14ac:dyDescent="0.25">
      <c r="B167" s="2" t="s">
        <v>0</v>
      </c>
      <c r="C167" s="175" t="s">
        <v>202</v>
      </c>
      <c r="D167" s="176"/>
      <c r="E167" s="177" t="s">
        <v>1</v>
      </c>
      <c r="F167" s="178"/>
      <c r="G167" s="11">
        <v>140</v>
      </c>
      <c r="H167" s="179" t="s">
        <v>2</v>
      </c>
      <c r="I167" s="180"/>
      <c r="J167" s="181"/>
      <c r="K167" s="13">
        <v>140</v>
      </c>
      <c r="L167" s="3"/>
      <c r="M167" s="80" t="s">
        <v>11</v>
      </c>
      <c r="N167" s="98">
        <v>45074</v>
      </c>
    </row>
    <row r="168" spans="2:14" ht="15.75" x14ac:dyDescent="0.25">
      <c r="B168" s="4" t="s">
        <v>3</v>
      </c>
      <c r="C168" s="10">
        <v>18008</v>
      </c>
      <c r="D168" s="169" t="s">
        <v>57</v>
      </c>
      <c r="E168" s="170"/>
      <c r="F168" s="171"/>
      <c r="G168" s="18"/>
      <c r="H168" s="172" t="s">
        <v>4</v>
      </c>
      <c r="I168" s="173"/>
      <c r="J168" s="174"/>
      <c r="K168" s="10"/>
      <c r="L168" s="15"/>
      <c r="M168" s="15"/>
      <c r="N168" s="16"/>
    </row>
    <row r="169" spans="2:14" ht="15.75" x14ac:dyDescent="0.25">
      <c r="B169" s="4" t="s">
        <v>5</v>
      </c>
      <c r="C169" s="19"/>
      <c r="D169" s="169" t="s">
        <v>8</v>
      </c>
      <c r="E169" s="170"/>
      <c r="F169" s="171"/>
      <c r="G169" s="17">
        <v>0.3</v>
      </c>
      <c r="H169" s="172" t="s">
        <v>9</v>
      </c>
      <c r="I169" s="173"/>
      <c r="J169" s="174"/>
      <c r="K169" s="12">
        <v>1.02</v>
      </c>
      <c r="L169" s="172" t="s">
        <v>6</v>
      </c>
      <c r="M169" s="174"/>
      <c r="N169" s="20">
        <v>3.44</v>
      </c>
    </row>
    <row r="170" spans="2:14" ht="16.5" thickBot="1" x14ac:dyDescent="0.3">
      <c r="B170" s="5"/>
      <c r="C170" s="9"/>
      <c r="D170" s="9"/>
      <c r="E170" s="9"/>
      <c r="F170" s="9"/>
      <c r="G170" s="9"/>
      <c r="H170" s="79"/>
      <c r="I170" s="21"/>
      <c r="J170" s="21"/>
      <c r="K170" s="21"/>
      <c r="L170" s="21"/>
      <c r="M170" s="21"/>
      <c r="N170" s="6"/>
    </row>
    <row r="171" spans="2:14" ht="15.75" x14ac:dyDescent="0.25">
      <c r="B171" s="7" t="s">
        <v>7</v>
      </c>
      <c r="C171" s="1">
        <v>1</v>
      </c>
      <c r="D171" s="1">
        <v>2</v>
      </c>
      <c r="E171" s="1">
        <v>3</v>
      </c>
      <c r="F171" s="1">
        <v>4</v>
      </c>
      <c r="G171" s="1">
        <v>5</v>
      </c>
      <c r="H171" s="77">
        <v>6</v>
      </c>
      <c r="I171" s="160" t="s">
        <v>197</v>
      </c>
      <c r="J171" s="161"/>
      <c r="K171" s="161"/>
      <c r="L171" s="161"/>
      <c r="M171" s="161"/>
      <c r="N171" s="162"/>
    </row>
    <row r="172" spans="2:14" ht="15.75" x14ac:dyDescent="0.25">
      <c r="B172" s="87" t="s">
        <v>10</v>
      </c>
      <c r="C172" s="19">
        <v>53</v>
      </c>
      <c r="D172" s="19">
        <v>48</v>
      </c>
      <c r="E172" s="19">
        <v>51</v>
      </c>
      <c r="F172" s="19">
        <v>51</v>
      </c>
      <c r="G172" s="19">
        <v>53</v>
      </c>
      <c r="H172" s="95">
        <v>50</v>
      </c>
      <c r="I172" s="163"/>
      <c r="J172" s="164"/>
      <c r="K172" s="164"/>
      <c r="L172" s="164"/>
      <c r="M172" s="164"/>
      <c r="N172" s="165"/>
    </row>
    <row r="173" spans="2:14" ht="16.5" thickBot="1" x14ac:dyDescent="0.3">
      <c r="B173" s="94" t="s">
        <v>12</v>
      </c>
      <c r="C173" s="93"/>
      <c r="D173" s="93"/>
      <c r="E173" s="93"/>
      <c r="F173" s="93"/>
      <c r="G173" s="93"/>
      <c r="H173" s="97"/>
      <c r="I173" s="166"/>
      <c r="J173" s="167"/>
      <c r="K173" s="167"/>
      <c r="L173" s="167"/>
      <c r="M173" s="167"/>
      <c r="N173" s="168"/>
    </row>
    <row r="175" spans="2:14" ht="15.75" thickBot="1" x14ac:dyDescent="0.3"/>
    <row r="176" spans="2:14" ht="15.75" x14ac:dyDescent="0.25">
      <c r="B176" s="2" t="s">
        <v>0</v>
      </c>
      <c r="C176" s="175" t="s">
        <v>202</v>
      </c>
      <c r="D176" s="176"/>
      <c r="E176" s="177" t="s">
        <v>1</v>
      </c>
      <c r="F176" s="178"/>
      <c r="G176" s="11">
        <v>140</v>
      </c>
      <c r="H176" s="179" t="s">
        <v>2</v>
      </c>
      <c r="I176" s="180"/>
      <c r="J176" s="181"/>
      <c r="K176" s="13">
        <v>140</v>
      </c>
      <c r="L176" s="3"/>
      <c r="M176" s="80" t="s">
        <v>11</v>
      </c>
      <c r="N176" s="98">
        <v>45081</v>
      </c>
    </row>
    <row r="177" spans="2:14" ht="15.75" x14ac:dyDescent="0.25">
      <c r="B177" s="4" t="s">
        <v>3</v>
      </c>
      <c r="C177" s="10">
        <v>18122</v>
      </c>
      <c r="D177" s="169" t="s">
        <v>57</v>
      </c>
      <c r="E177" s="170"/>
      <c r="F177" s="171"/>
      <c r="G177" s="18">
        <v>3461</v>
      </c>
      <c r="H177" s="172" t="s">
        <v>4</v>
      </c>
      <c r="I177" s="173"/>
      <c r="J177" s="174"/>
      <c r="K177" s="10">
        <v>43</v>
      </c>
      <c r="L177" s="15"/>
      <c r="M177" s="15"/>
      <c r="N177" s="16"/>
    </row>
    <row r="178" spans="2:14" ht="15.75" x14ac:dyDescent="0.25">
      <c r="B178" s="4" t="s">
        <v>5</v>
      </c>
      <c r="C178" s="19"/>
      <c r="D178" s="169" t="s">
        <v>8</v>
      </c>
      <c r="E178" s="170"/>
      <c r="F178" s="171"/>
      <c r="G178" s="17">
        <v>0.3</v>
      </c>
      <c r="H178" s="172" t="s">
        <v>9</v>
      </c>
      <c r="I178" s="173"/>
      <c r="J178" s="174"/>
      <c r="K178" s="12">
        <v>1.02</v>
      </c>
      <c r="L178" s="172" t="s">
        <v>6</v>
      </c>
      <c r="M178" s="174"/>
      <c r="N178" s="20">
        <v>3.44</v>
      </c>
    </row>
    <row r="179" spans="2:14" ht="16.5" thickBot="1" x14ac:dyDescent="0.3">
      <c r="B179" s="5"/>
      <c r="C179" s="9"/>
      <c r="D179" s="9"/>
      <c r="E179" s="9"/>
      <c r="F179" s="9"/>
      <c r="G179" s="9"/>
      <c r="H179" s="79"/>
      <c r="I179" s="21"/>
      <c r="J179" s="21"/>
      <c r="K179" s="21"/>
      <c r="L179" s="21"/>
      <c r="M179" s="21"/>
      <c r="N179" s="6"/>
    </row>
    <row r="180" spans="2:14" ht="15.75" x14ac:dyDescent="0.25">
      <c r="B180" s="7" t="s">
        <v>7</v>
      </c>
      <c r="C180" s="1">
        <v>1</v>
      </c>
      <c r="D180" s="1">
        <v>2</v>
      </c>
      <c r="E180" s="1">
        <v>3</v>
      </c>
      <c r="F180" s="1">
        <v>4</v>
      </c>
      <c r="G180" s="1">
        <v>5</v>
      </c>
      <c r="H180" s="77">
        <v>6</v>
      </c>
      <c r="I180" s="160" t="s">
        <v>198</v>
      </c>
      <c r="J180" s="161"/>
      <c r="K180" s="161"/>
      <c r="L180" s="161"/>
      <c r="M180" s="161"/>
      <c r="N180" s="162"/>
    </row>
    <row r="181" spans="2:14" ht="15.75" x14ac:dyDescent="0.25">
      <c r="B181" s="87" t="s">
        <v>10</v>
      </c>
      <c r="C181" s="19">
        <v>51</v>
      </c>
      <c r="D181" s="19">
        <v>50</v>
      </c>
      <c r="E181" s="19">
        <v>49</v>
      </c>
      <c r="F181" s="19">
        <v>51</v>
      </c>
      <c r="G181" s="19">
        <v>55</v>
      </c>
      <c r="H181" s="95">
        <v>48</v>
      </c>
      <c r="I181" s="163"/>
      <c r="J181" s="164"/>
      <c r="K181" s="164"/>
      <c r="L181" s="164"/>
      <c r="M181" s="164"/>
      <c r="N181" s="165"/>
    </row>
    <row r="182" spans="2:14" ht="16.5" thickBot="1" x14ac:dyDescent="0.3">
      <c r="B182" s="94" t="s">
        <v>12</v>
      </c>
      <c r="C182" s="93"/>
      <c r="D182" s="93"/>
      <c r="E182" s="93"/>
      <c r="F182" s="93"/>
      <c r="G182" s="93"/>
      <c r="H182" s="97"/>
      <c r="I182" s="166"/>
      <c r="J182" s="167"/>
      <c r="K182" s="167"/>
      <c r="L182" s="167"/>
      <c r="M182" s="167"/>
      <c r="N182" s="168"/>
    </row>
    <row r="187" spans="2:14" ht="15.75" thickBot="1" x14ac:dyDescent="0.3"/>
    <row r="188" spans="2:14" ht="15.75" x14ac:dyDescent="0.25">
      <c r="B188" s="2" t="s">
        <v>0</v>
      </c>
      <c r="C188" s="175" t="s">
        <v>202</v>
      </c>
      <c r="D188" s="176"/>
      <c r="E188" s="177" t="s">
        <v>1</v>
      </c>
      <c r="F188" s="178"/>
      <c r="G188" s="11">
        <v>140</v>
      </c>
      <c r="H188" s="179" t="s">
        <v>2</v>
      </c>
      <c r="I188" s="180"/>
      <c r="J188" s="181"/>
      <c r="K188" s="13">
        <v>140</v>
      </c>
      <c r="L188" s="3"/>
      <c r="M188" s="80" t="s">
        <v>11</v>
      </c>
      <c r="N188" s="98">
        <v>45088</v>
      </c>
    </row>
    <row r="189" spans="2:14" ht="15.75" x14ac:dyDescent="0.25">
      <c r="B189" s="4" t="s">
        <v>3</v>
      </c>
      <c r="C189" s="10">
        <v>18227</v>
      </c>
      <c r="D189" s="169" t="s">
        <v>57</v>
      </c>
      <c r="E189" s="170"/>
      <c r="F189" s="171"/>
      <c r="G189" s="18">
        <v>4200</v>
      </c>
      <c r="H189" s="172" t="s">
        <v>4</v>
      </c>
      <c r="I189" s="173"/>
      <c r="J189" s="174"/>
      <c r="K189" s="10">
        <v>60</v>
      </c>
      <c r="L189" s="15"/>
      <c r="M189" s="15"/>
      <c r="N189" s="16"/>
    </row>
    <row r="190" spans="2:14" ht="15.75" x14ac:dyDescent="0.25">
      <c r="B190" s="4" t="s">
        <v>5</v>
      </c>
      <c r="C190" s="19"/>
      <c r="D190" s="169" t="s">
        <v>8</v>
      </c>
      <c r="E190" s="170"/>
      <c r="F190" s="171"/>
      <c r="G190" s="17">
        <v>0.3</v>
      </c>
      <c r="H190" s="172" t="s">
        <v>9</v>
      </c>
      <c r="I190" s="173"/>
      <c r="J190" s="174"/>
      <c r="K190" s="12">
        <v>1.02</v>
      </c>
      <c r="L190" s="172" t="s">
        <v>6</v>
      </c>
      <c r="M190" s="174"/>
      <c r="N190" s="20">
        <v>3.44</v>
      </c>
    </row>
    <row r="191" spans="2:14" ht="16.5" thickBot="1" x14ac:dyDescent="0.3">
      <c r="B191" s="5"/>
      <c r="C191" s="9"/>
      <c r="D191" s="9"/>
      <c r="E191" s="9"/>
      <c r="F191" s="9"/>
      <c r="G191" s="9"/>
      <c r="H191" s="79"/>
      <c r="I191" s="21"/>
      <c r="J191" s="21"/>
      <c r="K191" s="21"/>
      <c r="L191" s="21"/>
      <c r="M191" s="21"/>
      <c r="N191" s="6"/>
    </row>
    <row r="192" spans="2:14" ht="15.75" x14ac:dyDescent="0.25">
      <c r="B192" s="7" t="s">
        <v>7</v>
      </c>
      <c r="C192" s="1">
        <v>1</v>
      </c>
      <c r="D192" s="1">
        <v>2</v>
      </c>
      <c r="E192" s="1">
        <v>3</v>
      </c>
      <c r="F192" s="1">
        <v>4</v>
      </c>
      <c r="G192" s="1">
        <v>5</v>
      </c>
      <c r="H192" s="77">
        <v>6</v>
      </c>
      <c r="I192" s="160" t="s">
        <v>199</v>
      </c>
      <c r="J192" s="161"/>
      <c r="K192" s="161"/>
      <c r="L192" s="161"/>
      <c r="M192" s="161"/>
      <c r="N192" s="162"/>
    </row>
    <row r="193" spans="2:14" ht="15.75" x14ac:dyDescent="0.25">
      <c r="B193" s="87" t="s">
        <v>10</v>
      </c>
      <c r="C193" s="19">
        <v>52</v>
      </c>
      <c r="D193" s="19">
        <v>49</v>
      </c>
      <c r="E193" s="19">
        <v>49</v>
      </c>
      <c r="F193" s="19">
        <v>53</v>
      </c>
      <c r="G193" s="19">
        <v>50</v>
      </c>
      <c r="H193" s="95">
        <v>48</v>
      </c>
      <c r="I193" s="163"/>
      <c r="J193" s="164"/>
      <c r="K193" s="164"/>
      <c r="L193" s="164"/>
      <c r="M193" s="164"/>
      <c r="N193" s="165"/>
    </row>
    <row r="194" spans="2:14" ht="16.5" thickBot="1" x14ac:dyDescent="0.3">
      <c r="B194" s="94" t="s">
        <v>12</v>
      </c>
      <c r="C194" s="93"/>
      <c r="D194" s="93"/>
      <c r="E194" s="93"/>
      <c r="F194" s="93"/>
      <c r="G194" s="93"/>
      <c r="H194" s="97"/>
      <c r="I194" s="166"/>
      <c r="J194" s="167"/>
      <c r="K194" s="167"/>
      <c r="L194" s="167"/>
      <c r="M194" s="167"/>
      <c r="N194" s="168"/>
    </row>
    <row r="197" spans="2:14" ht="15.75" thickBot="1" x14ac:dyDescent="0.3"/>
    <row r="198" spans="2:14" ht="15.75" x14ac:dyDescent="0.25">
      <c r="B198" s="2" t="s">
        <v>0</v>
      </c>
      <c r="C198" s="175" t="s">
        <v>202</v>
      </c>
      <c r="D198" s="176"/>
      <c r="E198" s="177" t="s">
        <v>1</v>
      </c>
      <c r="F198" s="178"/>
      <c r="G198" s="11">
        <v>140</v>
      </c>
      <c r="H198" s="179" t="s">
        <v>2</v>
      </c>
      <c r="I198" s="180"/>
      <c r="J198" s="181"/>
      <c r="K198" s="13">
        <v>140</v>
      </c>
      <c r="L198" s="3"/>
      <c r="M198" s="80" t="s">
        <v>11</v>
      </c>
      <c r="N198" s="98">
        <v>45095</v>
      </c>
    </row>
    <row r="199" spans="2:14" ht="15.75" x14ac:dyDescent="0.25">
      <c r="B199" s="4" t="s">
        <v>3</v>
      </c>
      <c r="C199" s="10">
        <v>18380</v>
      </c>
      <c r="D199" s="169" t="s">
        <v>57</v>
      </c>
      <c r="E199" s="170"/>
      <c r="F199" s="171"/>
      <c r="G199" s="18">
        <v>9706</v>
      </c>
      <c r="H199" s="172" t="s">
        <v>4</v>
      </c>
      <c r="I199" s="173"/>
      <c r="J199" s="174"/>
      <c r="K199" s="10">
        <v>60</v>
      </c>
      <c r="L199" s="15"/>
      <c r="M199" s="15"/>
      <c r="N199" s="16"/>
    </row>
    <row r="200" spans="2:14" ht="15.75" x14ac:dyDescent="0.25">
      <c r="B200" s="4" t="s">
        <v>5</v>
      </c>
      <c r="C200" s="19"/>
      <c r="D200" s="169" t="s">
        <v>8</v>
      </c>
      <c r="E200" s="170"/>
      <c r="F200" s="171"/>
      <c r="G200" s="17">
        <v>0.3</v>
      </c>
      <c r="H200" s="172" t="s">
        <v>9</v>
      </c>
      <c r="I200" s="173"/>
      <c r="J200" s="174"/>
      <c r="K200" s="12">
        <v>1.02</v>
      </c>
      <c r="L200" s="172" t="s">
        <v>6</v>
      </c>
      <c r="M200" s="174"/>
      <c r="N200" s="20">
        <v>3.44</v>
      </c>
    </row>
    <row r="201" spans="2:14" ht="16.5" thickBot="1" x14ac:dyDescent="0.3">
      <c r="B201" s="5"/>
      <c r="C201" s="9"/>
      <c r="D201" s="9"/>
      <c r="E201" s="9"/>
      <c r="F201" s="9"/>
      <c r="G201" s="9"/>
      <c r="H201" s="79"/>
      <c r="I201" s="21"/>
      <c r="J201" s="21"/>
      <c r="K201" s="21"/>
      <c r="L201" s="21"/>
      <c r="M201" s="21"/>
      <c r="N201" s="6"/>
    </row>
    <row r="202" spans="2:14" ht="15.75" x14ac:dyDescent="0.25">
      <c r="B202" s="7" t="s">
        <v>7</v>
      </c>
      <c r="C202" s="1">
        <v>1</v>
      </c>
      <c r="D202" s="1">
        <v>2</v>
      </c>
      <c r="E202" s="1">
        <v>3</v>
      </c>
      <c r="F202" s="1">
        <v>4</v>
      </c>
      <c r="G202" s="1">
        <v>5</v>
      </c>
      <c r="H202" s="77">
        <v>6</v>
      </c>
      <c r="I202" s="160" t="s">
        <v>200</v>
      </c>
      <c r="J202" s="161"/>
      <c r="K202" s="161"/>
      <c r="L202" s="161"/>
      <c r="M202" s="161"/>
      <c r="N202" s="162"/>
    </row>
    <row r="203" spans="2:14" ht="15.75" x14ac:dyDescent="0.25">
      <c r="B203" s="87" t="s">
        <v>10</v>
      </c>
      <c r="C203" s="19">
        <v>51</v>
      </c>
      <c r="D203" s="19">
        <v>48</v>
      </c>
      <c r="E203" s="19">
        <v>50</v>
      </c>
      <c r="F203" s="19">
        <v>52</v>
      </c>
      <c r="G203" s="19">
        <v>53</v>
      </c>
      <c r="H203" s="95">
        <v>49</v>
      </c>
      <c r="I203" s="163"/>
      <c r="J203" s="164"/>
      <c r="K203" s="164"/>
      <c r="L203" s="164"/>
      <c r="M203" s="164"/>
      <c r="N203" s="165"/>
    </row>
    <row r="204" spans="2:14" ht="16.5" thickBot="1" x14ac:dyDescent="0.3">
      <c r="B204" s="94" t="s">
        <v>12</v>
      </c>
      <c r="C204" s="93"/>
      <c r="D204" s="93"/>
      <c r="E204" s="93"/>
      <c r="F204" s="93"/>
      <c r="G204" s="93"/>
      <c r="H204" s="97"/>
      <c r="I204" s="166"/>
      <c r="J204" s="167"/>
      <c r="K204" s="167"/>
      <c r="L204" s="167"/>
      <c r="M204" s="167"/>
      <c r="N204" s="168"/>
    </row>
    <row r="206" spans="2:14" ht="15.75" thickBot="1" x14ac:dyDescent="0.3"/>
    <row r="207" spans="2:14" ht="15.75" x14ac:dyDescent="0.25">
      <c r="B207" s="2" t="s">
        <v>0</v>
      </c>
      <c r="C207" s="175" t="s">
        <v>202</v>
      </c>
      <c r="D207" s="176"/>
      <c r="E207" s="177" t="s">
        <v>1</v>
      </c>
      <c r="F207" s="178"/>
      <c r="G207" s="11">
        <v>140</v>
      </c>
      <c r="H207" s="179" t="s">
        <v>2</v>
      </c>
      <c r="I207" s="180"/>
      <c r="J207" s="181"/>
      <c r="K207" s="13">
        <v>140</v>
      </c>
      <c r="L207" s="3"/>
      <c r="M207" s="80" t="s">
        <v>11</v>
      </c>
      <c r="N207" s="98">
        <v>45102</v>
      </c>
    </row>
    <row r="208" spans="2:14" ht="15.75" x14ac:dyDescent="0.25">
      <c r="B208" s="4" t="s">
        <v>3</v>
      </c>
      <c r="C208" s="10">
        <v>18547</v>
      </c>
      <c r="D208" s="169" t="s">
        <v>57</v>
      </c>
      <c r="E208" s="170"/>
      <c r="F208" s="171"/>
      <c r="G208" s="18">
        <v>7956</v>
      </c>
      <c r="H208" s="172" t="s">
        <v>4</v>
      </c>
      <c r="I208" s="173"/>
      <c r="J208" s="174"/>
      <c r="K208" s="10">
        <v>59</v>
      </c>
      <c r="L208" s="15"/>
      <c r="M208" s="15"/>
      <c r="N208" s="16"/>
    </row>
    <row r="209" spans="2:14" ht="15.75" x14ac:dyDescent="0.25">
      <c r="B209" s="4" t="s">
        <v>5</v>
      </c>
      <c r="C209" s="19">
        <v>69</v>
      </c>
      <c r="D209" s="169" t="s">
        <v>8</v>
      </c>
      <c r="E209" s="170"/>
      <c r="F209" s="171"/>
      <c r="G209" s="17">
        <v>0.3</v>
      </c>
      <c r="H209" s="172" t="s">
        <v>9</v>
      </c>
      <c r="I209" s="173"/>
      <c r="J209" s="174"/>
      <c r="K209" s="12">
        <v>1.02</v>
      </c>
      <c r="L209" s="172" t="s">
        <v>6</v>
      </c>
      <c r="M209" s="174"/>
      <c r="N209" s="20">
        <v>3.07</v>
      </c>
    </row>
    <row r="210" spans="2:14" ht="16.5" thickBot="1" x14ac:dyDescent="0.3">
      <c r="B210" s="5"/>
      <c r="C210" s="9"/>
      <c r="D210" s="9"/>
      <c r="E210" s="9"/>
      <c r="F210" s="9"/>
      <c r="G210" s="9"/>
      <c r="H210" s="79"/>
      <c r="I210" s="21"/>
      <c r="J210" s="21"/>
      <c r="K210" s="21"/>
      <c r="L210" s="21"/>
      <c r="M210" s="21"/>
      <c r="N210" s="6"/>
    </row>
    <row r="211" spans="2:14" ht="15.75" customHeight="1" x14ac:dyDescent="0.25">
      <c r="B211" s="7" t="s">
        <v>7</v>
      </c>
      <c r="C211" s="1">
        <v>1</v>
      </c>
      <c r="D211" s="1">
        <v>2</v>
      </c>
      <c r="E211" s="1">
        <v>3</v>
      </c>
      <c r="F211" s="1">
        <v>4</v>
      </c>
      <c r="G211" s="1">
        <v>5</v>
      </c>
      <c r="H211" s="77">
        <v>6</v>
      </c>
      <c r="I211" s="160" t="s">
        <v>201</v>
      </c>
      <c r="J211" s="161"/>
      <c r="K211" s="161"/>
      <c r="L211" s="161"/>
      <c r="M211" s="161"/>
      <c r="N211" s="162"/>
    </row>
    <row r="212" spans="2:14" ht="15.75" x14ac:dyDescent="0.25">
      <c r="B212" s="87" t="s">
        <v>10</v>
      </c>
      <c r="C212" s="19">
        <v>52</v>
      </c>
      <c r="D212" s="19">
        <v>49</v>
      </c>
      <c r="E212" s="19">
        <v>50</v>
      </c>
      <c r="F212" s="19">
        <v>52</v>
      </c>
      <c r="G212" s="19">
        <v>51</v>
      </c>
      <c r="H212" s="95">
        <v>50</v>
      </c>
      <c r="I212" s="163"/>
      <c r="J212" s="164"/>
      <c r="K212" s="164"/>
      <c r="L212" s="164"/>
      <c r="M212" s="164"/>
      <c r="N212" s="165"/>
    </row>
    <row r="213" spans="2:14" ht="16.5" thickBot="1" x14ac:dyDescent="0.3">
      <c r="B213" s="94" t="s">
        <v>12</v>
      </c>
      <c r="C213" s="93"/>
      <c r="D213" s="93"/>
      <c r="E213" s="93"/>
      <c r="F213" s="93"/>
      <c r="G213" s="93"/>
      <c r="H213" s="97"/>
      <c r="I213" s="166"/>
      <c r="J213" s="167"/>
      <c r="K213" s="167"/>
      <c r="L213" s="167"/>
      <c r="M213" s="167"/>
      <c r="N213" s="168"/>
    </row>
    <row r="215" spans="2:14" ht="15.75" thickBot="1" x14ac:dyDescent="0.3"/>
    <row r="216" spans="2:14" ht="15.75" x14ac:dyDescent="0.25">
      <c r="B216" s="2" t="s">
        <v>0</v>
      </c>
      <c r="C216" s="175" t="s">
        <v>202</v>
      </c>
      <c r="D216" s="176"/>
      <c r="E216" s="177" t="s">
        <v>1</v>
      </c>
      <c r="F216" s="178"/>
      <c r="G216" s="11">
        <v>140</v>
      </c>
      <c r="H216" s="179" t="s">
        <v>2</v>
      </c>
      <c r="I216" s="180"/>
      <c r="J216" s="181"/>
      <c r="K216" s="13">
        <v>140</v>
      </c>
      <c r="L216" s="3"/>
      <c r="M216" s="80" t="s">
        <v>11</v>
      </c>
      <c r="N216" s="98">
        <v>45109</v>
      </c>
    </row>
    <row r="217" spans="2:14" ht="15.75" x14ac:dyDescent="0.25">
      <c r="B217" s="4" t="s">
        <v>3</v>
      </c>
      <c r="C217" s="10">
        <v>18698</v>
      </c>
      <c r="D217" s="169" t="s">
        <v>57</v>
      </c>
      <c r="E217" s="170"/>
      <c r="F217" s="171"/>
      <c r="G217" s="18">
        <v>8196</v>
      </c>
      <c r="H217" s="172" t="s">
        <v>4</v>
      </c>
      <c r="I217" s="173"/>
      <c r="J217" s="174"/>
      <c r="K217" s="10">
        <v>58</v>
      </c>
      <c r="L217" s="15"/>
      <c r="M217" s="15"/>
      <c r="N217" s="16"/>
    </row>
    <row r="218" spans="2:14" ht="15.75" x14ac:dyDescent="0.25">
      <c r="B218" s="4" t="s">
        <v>5</v>
      </c>
      <c r="C218" s="19">
        <v>65</v>
      </c>
      <c r="D218" s="169" t="s">
        <v>8</v>
      </c>
      <c r="E218" s="170"/>
      <c r="F218" s="171"/>
      <c r="G218" s="17">
        <v>0.3</v>
      </c>
      <c r="H218" s="172" t="s">
        <v>9</v>
      </c>
      <c r="I218" s="173"/>
      <c r="J218" s="174"/>
      <c r="K218" s="12">
        <v>0.99</v>
      </c>
      <c r="L218" s="172" t="s">
        <v>6</v>
      </c>
      <c r="M218" s="174"/>
      <c r="N218" s="20">
        <v>3.07</v>
      </c>
    </row>
    <row r="219" spans="2:14" ht="16.5" thickBot="1" x14ac:dyDescent="0.3">
      <c r="B219" s="5"/>
      <c r="C219" s="9"/>
      <c r="D219" s="9"/>
      <c r="E219" s="9"/>
      <c r="F219" s="9"/>
      <c r="G219" s="9"/>
      <c r="H219" s="79"/>
      <c r="I219" s="21"/>
      <c r="J219" s="21"/>
      <c r="K219" s="21"/>
      <c r="L219" s="21"/>
      <c r="M219" s="21"/>
      <c r="N219" s="6"/>
    </row>
    <row r="220" spans="2:14" ht="15.75" x14ac:dyDescent="0.25">
      <c r="B220" s="7" t="s">
        <v>7</v>
      </c>
      <c r="C220" s="1">
        <v>1</v>
      </c>
      <c r="D220" s="1">
        <v>2</v>
      </c>
      <c r="E220" s="1">
        <v>3</v>
      </c>
      <c r="F220" s="1">
        <v>4</v>
      </c>
      <c r="G220" s="1">
        <v>5</v>
      </c>
      <c r="H220" s="77">
        <v>6</v>
      </c>
      <c r="I220" s="160" t="s">
        <v>203</v>
      </c>
      <c r="J220" s="161"/>
      <c r="K220" s="161"/>
      <c r="L220" s="161"/>
      <c r="M220" s="161"/>
      <c r="N220" s="162"/>
    </row>
    <row r="221" spans="2:14" ht="15.75" x14ac:dyDescent="0.25">
      <c r="B221" s="87" t="s">
        <v>10</v>
      </c>
      <c r="C221" s="19">
        <v>51</v>
      </c>
      <c r="D221" s="19">
        <v>48</v>
      </c>
      <c r="E221" s="19">
        <v>50</v>
      </c>
      <c r="F221" s="19">
        <v>51</v>
      </c>
      <c r="G221" s="19">
        <v>52</v>
      </c>
      <c r="H221" s="95">
        <v>51</v>
      </c>
      <c r="I221" s="163"/>
      <c r="J221" s="164"/>
      <c r="K221" s="164"/>
      <c r="L221" s="164"/>
      <c r="M221" s="164"/>
      <c r="N221" s="165"/>
    </row>
    <row r="222" spans="2:14" ht="16.5" thickBot="1" x14ac:dyDescent="0.3">
      <c r="B222" s="94" t="s">
        <v>12</v>
      </c>
      <c r="C222" s="93">
        <v>44</v>
      </c>
      <c r="D222" s="93">
        <v>51</v>
      </c>
      <c r="E222" s="93">
        <v>33</v>
      </c>
      <c r="F222" s="93">
        <v>23</v>
      </c>
      <c r="G222" s="93">
        <v>33</v>
      </c>
      <c r="H222" s="97">
        <v>48</v>
      </c>
      <c r="I222" s="166"/>
      <c r="J222" s="167"/>
      <c r="K222" s="167"/>
      <c r="L222" s="167"/>
      <c r="M222" s="167"/>
      <c r="N222" s="168"/>
    </row>
    <row r="224" spans="2:14" ht="15.75" thickBot="1" x14ac:dyDescent="0.3"/>
    <row r="225" spans="2:14" ht="15.75" x14ac:dyDescent="0.25">
      <c r="B225" s="2" t="s">
        <v>0</v>
      </c>
      <c r="C225" s="175" t="s">
        <v>202</v>
      </c>
      <c r="D225" s="176"/>
      <c r="E225" s="177" t="s">
        <v>1</v>
      </c>
      <c r="F225" s="178"/>
      <c r="G225" s="11">
        <v>140</v>
      </c>
      <c r="H225" s="179" t="s">
        <v>2</v>
      </c>
      <c r="I225" s="180"/>
      <c r="J225" s="181"/>
      <c r="K225" s="13">
        <v>140</v>
      </c>
      <c r="L225" s="3"/>
      <c r="M225" s="80" t="s">
        <v>11</v>
      </c>
      <c r="N225" s="98">
        <v>45130</v>
      </c>
    </row>
    <row r="226" spans="2:14" ht="15.75" x14ac:dyDescent="0.25">
      <c r="B226" s="4" t="s">
        <v>3</v>
      </c>
      <c r="C226" s="10">
        <v>19046</v>
      </c>
      <c r="D226" s="169" t="s">
        <v>57</v>
      </c>
      <c r="E226" s="170"/>
      <c r="F226" s="171"/>
      <c r="G226" s="18">
        <v>7654</v>
      </c>
      <c r="H226" s="172" t="s">
        <v>4</v>
      </c>
      <c r="I226" s="173"/>
      <c r="J226" s="174"/>
      <c r="K226" s="10">
        <v>58</v>
      </c>
      <c r="L226" s="15"/>
      <c r="M226" s="15"/>
      <c r="N226" s="16"/>
    </row>
    <row r="227" spans="2:14" ht="15.75" x14ac:dyDescent="0.25">
      <c r="B227" s="4" t="s">
        <v>5</v>
      </c>
      <c r="C227" s="19">
        <v>61</v>
      </c>
      <c r="D227" s="169" t="s">
        <v>8</v>
      </c>
      <c r="E227" s="170"/>
      <c r="F227" s="171"/>
      <c r="G227" s="17">
        <v>0.3</v>
      </c>
      <c r="H227" s="172" t="s">
        <v>9</v>
      </c>
      <c r="I227" s="173"/>
      <c r="J227" s="174"/>
      <c r="K227" s="12">
        <v>0.99</v>
      </c>
      <c r="L227" s="172" t="s">
        <v>6</v>
      </c>
      <c r="M227" s="174"/>
      <c r="N227" s="20">
        <v>3.3</v>
      </c>
    </row>
    <row r="228" spans="2:14" ht="16.5" thickBot="1" x14ac:dyDescent="0.3">
      <c r="B228" s="5"/>
      <c r="C228" s="9"/>
      <c r="D228" s="9"/>
      <c r="E228" s="9"/>
      <c r="F228" s="9"/>
      <c r="G228" s="9"/>
      <c r="H228" s="79"/>
      <c r="I228" s="21"/>
      <c r="J228" s="21"/>
      <c r="K228" s="21"/>
      <c r="L228" s="21"/>
      <c r="M228" s="21"/>
      <c r="N228" s="6"/>
    </row>
    <row r="229" spans="2:14" ht="15.75" x14ac:dyDescent="0.25">
      <c r="B229" s="7" t="s">
        <v>7</v>
      </c>
      <c r="C229" s="1">
        <v>1</v>
      </c>
      <c r="D229" s="1">
        <v>2</v>
      </c>
      <c r="E229" s="1">
        <v>3</v>
      </c>
      <c r="F229" s="1">
        <v>4</v>
      </c>
      <c r="G229" s="1">
        <v>5</v>
      </c>
      <c r="H229" s="77">
        <v>6</v>
      </c>
      <c r="I229" s="160" t="s">
        <v>204</v>
      </c>
      <c r="J229" s="161"/>
      <c r="K229" s="161"/>
      <c r="L229" s="161"/>
      <c r="M229" s="161"/>
      <c r="N229" s="162"/>
    </row>
    <row r="230" spans="2:14" ht="15.75" x14ac:dyDescent="0.25">
      <c r="B230" s="87" t="s">
        <v>10</v>
      </c>
      <c r="C230" s="19">
        <v>51</v>
      </c>
      <c r="D230" s="19">
        <v>49</v>
      </c>
      <c r="E230" s="19">
        <v>53</v>
      </c>
      <c r="F230" s="19">
        <v>51</v>
      </c>
      <c r="G230" s="19">
        <v>51</v>
      </c>
      <c r="H230" s="95">
        <v>54</v>
      </c>
      <c r="I230" s="163"/>
      <c r="J230" s="164"/>
      <c r="K230" s="164"/>
      <c r="L230" s="164"/>
      <c r="M230" s="164"/>
      <c r="N230" s="165"/>
    </row>
    <row r="231" spans="2:14" ht="16.5" thickBot="1" x14ac:dyDescent="0.3">
      <c r="B231" s="94" t="s">
        <v>12</v>
      </c>
      <c r="C231" s="93">
        <v>56</v>
      </c>
      <c r="D231" s="93">
        <v>47</v>
      </c>
      <c r="E231" s="93">
        <v>48</v>
      </c>
      <c r="F231" s="93">
        <v>53</v>
      </c>
      <c r="G231" s="93">
        <v>50</v>
      </c>
      <c r="H231" s="97">
        <v>47</v>
      </c>
      <c r="I231" s="166"/>
      <c r="J231" s="167"/>
      <c r="K231" s="167"/>
      <c r="L231" s="167"/>
      <c r="M231" s="167"/>
      <c r="N231" s="168"/>
    </row>
    <row r="234" spans="2:14" ht="15.75" thickBot="1" x14ac:dyDescent="0.3"/>
    <row r="235" spans="2:14" ht="15.75" x14ac:dyDescent="0.25">
      <c r="B235" s="2" t="s">
        <v>0</v>
      </c>
      <c r="C235" s="175" t="s">
        <v>202</v>
      </c>
      <c r="D235" s="176"/>
      <c r="E235" s="177" t="s">
        <v>1</v>
      </c>
      <c r="F235" s="178"/>
      <c r="G235" s="11">
        <v>140</v>
      </c>
      <c r="H235" s="179" t="s">
        <v>2</v>
      </c>
      <c r="I235" s="180"/>
      <c r="J235" s="181"/>
      <c r="K235" s="13">
        <v>140</v>
      </c>
      <c r="L235" s="3"/>
      <c r="M235" s="80" t="s">
        <v>11</v>
      </c>
      <c r="N235" s="98">
        <v>45137</v>
      </c>
    </row>
    <row r="236" spans="2:14" ht="15.75" x14ac:dyDescent="0.25">
      <c r="B236" s="4" t="s">
        <v>3</v>
      </c>
      <c r="C236" s="10">
        <v>19216</v>
      </c>
      <c r="D236" s="169" t="s">
        <v>57</v>
      </c>
      <c r="E236" s="170"/>
      <c r="F236" s="171"/>
      <c r="G236" s="18">
        <v>5210</v>
      </c>
      <c r="H236" s="172" t="s">
        <v>4</v>
      </c>
      <c r="I236" s="173"/>
      <c r="J236" s="174"/>
      <c r="K236" s="10">
        <v>54</v>
      </c>
      <c r="L236" s="15"/>
      <c r="M236" s="15"/>
      <c r="N236" s="16"/>
    </row>
    <row r="237" spans="2:14" ht="15.75" x14ac:dyDescent="0.25">
      <c r="B237" s="4" t="s">
        <v>5</v>
      </c>
      <c r="C237" s="19">
        <v>55</v>
      </c>
      <c r="D237" s="169" t="s">
        <v>8</v>
      </c>
      <c r="E237" s="170"/>
      <c r="F237" s="171"/>
      <c r="G237" s="17">
        <v>0.3</v>
      </c>
      <c r="H237" s="172" t="s">
        <v>9</v>
      </c>
      <c r="I237" s="173"/>
      <c r="J237" s="174"/>
      <c r="K237" s="12">
        <v>0.96</v>
      </c>
      <c r="L237" s="172" t="s">
        <v>6</v>
      </c>
      <c r="M237" s="174"/>
      <c r="N237" s="20">
        <v>3.3</v>
      </c>
    </row>
    <row r="238" spans="2:14" ht="16.5" thickBot="1" x14ac:dyDescent="0.3">
      <c r="B238" s="5"/>
      <c r="C238" s="9"/>
      <c r="D238" s="9"/>
      <c r="E238" s="9"/>
      <c r="F238" s="9"/>
      <c r="G238" s="9"/>
      <c r="H238" s="79"/>
      <c r="I238" s="21"/>
      <c r="J238" s="21"/>
      <c r="K238" s="21"/>
      <c r="L238" s="21"/>
      <c r="M238" s="21"/>
      <c r="N238" s="6"/>
    </row>
    <row r="239" spans="2:14" ht="15.75" x14ac:dyDescent="0.25">
      <c r="B239" s="7" t="s">
        <v>7</v>
      </c>
      <c r="C239" s="1">
        <v>1</v>
      </c>
      <c r="D239" s="1">
        <v>2</v>
      </c>
      <c r="E239" s="1">
        <v>3</v>
      </c>
      <c r="F239" s="1">
        <v>4</v>
      </c>
      <c r="G239" s="1">
        <v>5</v>
      </c>
      <c r="H239" s="77">
        <v>6</v>
      </c>
      <c r="I239" s="160" t="s">
        <v>205</v>
      </c>
      <c r="J239" s="161"/>
      <c r="K239" s="161"/>
      <c r="L239" s="161"/>
      <c r="M239" s="161"/>
      <c r="N239" s="162"/>
    </row>
    <row r="240" spans="2:14" ht="15.75" x14ac:dyDescent="0.25">
      <c r="B240" s="87" t="s">
        <v>10</v>
      </c>
      <c r="C240" s="19">
        <v>52</v>
      </c>
      <c r="D240" s="19">
        <v>48</v>
      </c>
      <c r="E240" s="19">
        <v>51</v>
      </c>
      <c r="F240" s="19">
        <v>52</v>
      </c>
      <c r="G240" s="19">
        <v>52</v>
      </c>
      <c r="H240" s="95">
        <v>53</v>
      </c>
      <c r="I240" s="163"/>
      <c r="J240" s="164"/>
      <c r="K240" s="164"/>
      <c r="L240" s="164"/>
      <c r="M240" s="164"/>
      <c r="N240" s="165"/>
    </row>
    <row r="241" spans="2:14" ht="16.5" thickBot="1" x14ac:dyDescent="0.3">
      <c r="B241" s="94" t="s">
        <v>12</v>
      </c>
      <c r="C241" s="93">
        <v>55</v>
      </c>
      <c r="D241" s="93">
        <v>46</v>
      </c>
      <c r="E241" s="93">
        <v>49</v>
      </c>
      <c r="F241" s="93">
        <v>55</v>
      </c>
      <c r="G241" s="93">
        <v>52</v>
      </c>
      <c r="H241" s="97">
        <v>48</v>
      </c>
      <c r="I241" s="166"/>
      <c r="J241" s="167"/>
      <c r="K241" s="167"/>
      <c r="L241" s="167"/>
      <c r="M241" s="167"/>
      <c r="N241" s="168"/>
    </row>
    <row r="244" spans="2:14" ht="15.75" thickBot="1" x14ac:dyDescent="0.3"/>
    <row r="245" spans="2:14" ht="15.75" x14ac:dyDescent="0.25">
      <c r="B245" s="2" t="s">
        <v>0</v>
      </c>
      <c r="C245" s="175" t="s">
        <v>202</v>
      </c>
      <c r="D245" s="176"/>
      <c r="E245" s="177" t="s">
        <v>1</v>
      </c>
      <c r="F245" s="178"/>
      <c r="G245" s="11">
        <v>140</v>
      </c>
      <c r="H245" s="179" t="s">
        <v>2</v>
      </c>
      <c r="I245" s="180"/>
      <c r="J245" s="181"/>
      <c r="K245" s="13">
        <v>140</v>
      </c>
      <c r="L245" s="3"/>
      <c r="M245" s="80" t="s">
        <v>11</v>
      </c>
      <c r="N245" s="98">
        <v>45144</v>
      </c>
    </row>
    <row r="246" spans="2:14" ht="15.75" x14ac:dyDescent="0.25">
      <c r="B246" s="4" t="s">
        <v>3</v>
      </c>
      <c r="C246" s="10">
        <v>19314</v>
      </c>
      <c r="D246" s="169" t="s">
        <v>57</v>
      </c>
      <c r="E246" s="170"/>
      <c r="F246" s="171"/>
      <c r="G246" s="18">
        <v>9049</v>
      </c>
      <c r="H246" s="172" t="s">
        <v>4</v>
      </c>
      <c r="I246" s="173"/>
      <c r="J246" s="174"/>
      <c r="K246" s="10">
        <v>60</v>
      </c>
      <c r="L246" s="15"/>
      <c r="M246" s="15"/>
      <c r="N246" s="16"/>
    </row>
    <row r="247" spans="2:14" ht="15.75" x14ac:dyDescent="0.25">
      <c r="B247" s="4" t="s">
        <v>5</v>
      </c>
      <c r="C247" s="19">
        <v>70</v>
      </c>
      <c r="D247" s="169" t="s">
        <v>8</v>
      </c>
      <c r="E247" s="170"/>
      <c r="F247" s="171"/>
      <c r="G247" s="17">
        <v>0.3</v>
      </c>
      <c r="H247" s="172" t="s">
        <v>9</v>
      </c>
      <c r="I247" s="173"/>
      <c r="J247" s="174"/>
      <c r="K247" s="12">
        <v>0.99</v>
      </c>
      <c r="L247" s="172" t="s">
        <v>6</v>
      </c>
      <c r="M247" s="174"/>
      <c r="N247" s="20">
        <v>3.19</v>
      </c>
    </row>
    <row r="248" spans="2:14" ht="16.5" thickBot="1" x14ac:dyDescent="0.3">
      <c r="B248" s="5"/>
      <c r="C248" s="9"/>
      <c r="D248" s="9"/>
      <c r="E248" s="9"/>
      <c r="F248" s="9"/>
      <c r="G248" s="9"/>
      <c r="H248" s="79"/>
      <c r="I248" s="21"/>
      <c r="J248" s="21"/>
      <c r="K248" s="21"/>
      <c r="L248" s="21"/>
      <c r="M248" s="21"/>
      <c r="N248" s="6"/>
    </row>
    <row r="249" spans="2:14" ht="15.75" x14ac:dyDescent="0.25">
      <c r="B249" s="7" t="s">
        <v>7</v>
      </c>
      <c r="C249" s="1">
        <v>1</v>
      </c>
      <c r="D249" s="1">
        <v>2</v>
      </c>
      <c r="E249" s="1">
        <v>3</v>
      </c>
      <c r="F249" s="1">
        <v>4</v>
      </c>
      <c r="G249" s="1">
        <v>5</v>
      </c>
      <c r="H249" s="77">
        <v>6</v>
      </c>
      <c r="I249" s="160" t="s">
        <v>206</v>
      </c>
      <c r="J249" s="161"/>
      <c r="K249" s="161"/>
      <c r="L249" s="161"/>
      <c r="M249" s="161"/>
      <c r="N249" s="162"/>
    </row>
    <row r="250" spans="2:14" ht="15.75" x14ac:dyDescent="0.25">
      <c r="B250" s="87" t="s">
        <v>10</v>
      </c>
      <c r="C250" s="19">
        <v>49</v>
      </c>
      <c r="D250" s="19">
        <v>47</v>
      </c>
      <c r="E250" s="19">
        <v>48</v>
      </c>
      <c r="F250" s="19">
        <v>49</v>
      </c>
      <c r="G250" s="19">
        <v>50</v>
      </c>
      <c r="H250" s="95">
        <v>49</v>
      </c>
      <c r="I250" s="163"/>
      <c r="J250" s="164"/>
      <c r="K250" s="164"/>
      <c r="L250" s="164"/>
      <c r="M250" s="164"/>
      <c r="N250" s="165"/>
    </row>
    <row r="251" spans="2:14" ht="16.5" thickBot="1" x14ac:dyDescent="0.3">
      <c r="B251" s="94" t="s">
        <v>12</v>
      </c>
      <c r="C251" s="93">
        <v>26</v>
      </c>
      <c r="D251" s="93">
        <v>33</v>
      </c>
      <c r="E251" s="93">
        <v>39</v>
      </c>
      <c r="F251" s="93">
        <v>38</v>
      </c>
      <c r="G251" s="93">
        <v>24</v>
      </c>
      <c r="H251" s="97">
        <v>23</v>
      </c>
      <c r="I251" s="166"/>
      <c r="J251" s="167"/>
      <c r="K251" s="167"/>
      <c r="L251" s="167"/>
      <c r="M251" s="167"/>
      <c r="N251" s="168"/>
    </row>
    <row r="255" spans="2:14" ht="15.75" thickBot="1" x14ac:dyDescent="0.3"/>
    <row r="256" spans="2:14" ht="15.75" x14ac:dyDescent="0.25">
      <c r="B256" s="2" t="s">
        <v>0</v>
      </c>
      <c r="C256" s="175" t="s">
        <v>202</v>
      </c>
      <c r="D256" s="176"/>
      <c r="E256" s="177" t="s">
        <v>1</v>
      </c>
      <c r="F256" s="178"/>
      <c r="G256" s="11">
        <v>140</v>
      </c>
      <c r="H256" s="179" t="s">
        <v>2</v>
      </c>
      <c r="I256" s="180"/>
      <c r="J256" s="181"/>
      <c r="K256" s="13">
        <v>140</v>
      </c>
      <c r="L256" s="3"/>
      <c r="M256" s="80" t="s">
        <v>11</v>
      </c>
      <c r="N256" s="98">
        <v>45151</v>
      </c>
    </row>
    <row r="257" spans="2:14" ht="15.75" x14ac:dyDescent="0.25">
      <c r="B257" s="4" t="s">
        <v>3</v>
      </c>
      <c r="C257" s="10">
        <v>19480</v>
      </c>
      <c r="D257" s="169" t="s">
        <v>57</v>
      </c>
      <c r="E257" s="170"/>
      <c r="F257" s="171"/>
      <c r="G257" s="18">
        <v>9070</v>
      </c>
      <c r="H257" s="172" t="s">
        <v>4</v>
      </c>
      <c r="I257" s="173"/>
      <c r="J257" s="174"/>
      <c r="K257" s="10">
        <v>62</v>
      </c>
      <c r="L257" s="15"/>
      <c r="M257" s="15"/>
      <c r="N257" s="16"/>
    </row>
    <row r="258" spans="2:14" ht="15.75" x14ac:dyDescent="0.25">
      <c r="B258" s="4" t="s">
        <v>5</v>
      </c>
      <c r="C258" s="19">
        <v>68</v>
      </c>
      <c r="D258" s="169" t="s">
        <v>8</v>
      </c>
      <c r="E258" s="170"/>
      <c r="F258" s="171"/>
      <c r="G258" s="17">
        <v>0.3</v>
      </c>
      <c r="H258" s="172" t="s">
        <v>9</v>
      </c>
      <c r="I258" s="173"/>
      <c r="J258" s="174"/>
      <c r="K258" s="12">
        <v>0.94</v>
      </c>
      <c r="L258" s="172" t="s">
        <v>6</v>
      </c>
      <c r="M258" s="174"/>
      <c r="N258" s="20">
        <v>3.19</v>
      </c>
    </row>
    <row r="259" spans="2:14" ht="16.5" thickBot="1" x14ac:dyDescent="0.3">
      <c r="B259" s="5"/>
      <c r="C259" s="9"/>
      <c r="D259" s="9"/>
      <c r="E259" s="9"/>
      <c r="F259" s="9"/>
      <c r="G259" s="9"/>
      <c r="H259" s="79"/>
      <c r="I259" s="21"/>
      <c r="J259" s="21"/>
      <c r="K259" s="21"/>
      <c r="L259" s="21"/>
      <c r="M259" s="21"/>
      <c r="N259" s="6"/>
    </row>
    <row r="260" spans="2:14" ht="15.75" x14ac:dyDescent="0.25">
      <c r="B260" s="7" t="s">
        <v>7</v>
      </c>
      <c r="C260" s="1">
        <v>1</v>
      </c>
      <c r="D260" s="1">
        <v>2</v>
      </c>
      <c r="E260" s="1">
        <v>3</v>
      </c>
      <c r="F260" s="1">
        <v>4</v>
      </c>
      <c r="G260" s="1">
        <v>5</v>
      </c>
      <c r="H260" s="77">
        <v>6</v>
      </c>
      <c r="I260" s="160" t="s">
        <v>207</v>
      </c>
      <c r="J260" s="161"/>
      <c r="K260" s="161"/>
      <c r="L260" s="161"/>
      <c r="M260" s="161"/>
      <c r="N260" s="162"/>
    </row>
    <row r="261" spans="2:14" ht="15.75" x14ac:dyDescent="0.25">
      <c r="B261" s="87" t="s">
        <v>10</v>
      </c>
      <c r="C261" s="19">
        <v>47</v>
      </c>
      <c r="D261" s="19">
        <v>45</v>
      </c>
      <c r="E261" s="19">
        <v>47</v>
      </c>
      <c r="F261" s="19">
        <v>46</v>
      </c>
      <c r="G261" s="19">
        <v>48</v>
      </c>
      <c r="H261" s="95">
        <v>47</v>
      </c>
      <c r="I261" s="163"/>
      <c r="J261" s="164"/>
      <c r="K261" s="164"/>
      <c r="L261" s="164"/>
      <c r="M261" s="164"/>
      <c r="N261" s="165"/>
    </row>
    <row r="262" spans="2:14" ht="16.5" thickBot="1" x14ac:dyDescent="0.3">
      <c r="B262" s="94" t="s">
        <v>12</v>
      </c>
      <c r="C262" s="93">
        <v>30</v>
      </c>
      <c r="D262" s="93">
        <v>39</v>
      </c>
      <c r="E262" s="93">
        <v>34</v>
      </c>
      <c r="F262" s="93">
        <v>42</v>
      </c>
      <c r="G262" s="93">
        <v>32</v>
      </c>
      <c r="H262" s="97">
        <v>31</v>
      </c>
      <c r="I262" s="166"/>
      <c r="J262" s="167"/>
      <c r="K262" s="167"/>
      <c r="L262" s="167"/>
      <c r="M262" s="167"/>
      <c r="N262" s="168"/>
    </row>
    <row r="266" spans="2:14" ht="15.75" thickBot="1" x14ac:dyDescent="0.3"/>
    <row r="267" spans="2:14" ht="15.75" x14ac:dyDescent="0.25">
      <c r="B267" s="2" t="s">
        <v>0</v>
      </c>
      <c r="C267" s="175" t="s">
        <v>202</v>
      </c>
      <c r="D267" s="176"/>
      <c r="E267" s="177" t="s">
        <v>1</v>
      </c>
      <c r="F267" s="178"/>
      <c r="G267" s="11">
        <v>140</v>
      </c>
      <c r="H267" s="179" t="s">
        <v>2</v>
      </c>
      <c r="I267" s="180"/>
      <c r="J267" s="181"/>
      <c r="K267" s="13">
        <v>140</v>
      </c>
      <c r="L267" s="3"/>
      <c r="M267" s="80" t="s">
        <v>11</v>
      </c>
      <c r="N267" s="98">
        <v>45158</v>
      </c>
    </row>
    <row r="268" spans="2:14" ht="15.75" x14ac:dyDescent="0.25">
      <c r="B268" s="4" t="s">
        <v>3</v>
      </c>
      <c r="C268" s="10">
        <v>19646</v>
      </c>
      <c r="D268" s="169" t="s">
        <v>57</v>
      </c>
      <c r="E268" s="170"/>
      <c r="F268" s="171"/>
      <c r="G268" s="18">
        <v>7060</v>
      </c>
      <c r="H268" s="172" t="s">
        <v>4</v>
      </c>
      <c r="I268" s="173"/>
      <c r="J268" s="174"/>
      <c r="K268" s="10">
        <v>61</v>
      </c>
      <c r="L268" s="15"/>
      <c r="M268" s="15"/>
      <c r="N268" s="16"/>
    </row>
    <row r="269" spans="2:14" ht="15.75" x14ac:dyDescent="0.25">
      <c r="B269" s="4" t="s">
        <v>5</v>
      </c>
      <c r="C269" s="19">
        <v>62</v>
      </c>
      <c r="D269" s="169" t="s">
        <v>8</v>
      </c>
      <c r="E269" s="170"/>
      <c r="F269" s="171"/>
      <c r="G269" s="17">
        <v>0.3</v>
      </c>
      <c r="H269" s="172" t="s">
        <v>9</v>
      </c>
      <c r="I269" s="173"/>
      <c r="J269" s="174"/>
      <c r="K269" s="12">
        <v>0.92</v>
      </c>
      <c r="L269" s="172" t="s">
        <v>6</v>
      </c>
      <c r="M269" s="174"/>
      <c r="N269" s="20">
        <v>3.19</v>
      </c>
    </row>
    <row r="270" spans="2:14" ht="16.5" thickBot="1" x14ac:dyDescent="0.3">
      <c r="B270" s="5"/>
      <c r="C270" s="9"/>
      <c r="D270" s="9"/>
      <c r="E270" s="9"/>
      <c r="F270" s="9"/>
      <c r="G270" s="9"/>
      <c r="H270" s="79"/>
      <c r="I270" s="21"/>
      <c r="J270" s="21"/>
      <c r="K270" s="21"/>
      <c r="L270" s="21"/>
      <c r="M270" s="21"/>
      <c r="N270" s="6"/>
    </row>
    <row r="271" spans="2:14" ht="15.75" x14ac:dyDescent="0.25">
      <c r="B271" s="7" t="s">
        <v>7</v>
      </c>
      <c r="C271" s="1">
        <v>1</v>
      </c>
      <c r="D271" s="1">
        <v>2</v>
      </c>
      <c r="E271" s="1">
        <v>3</v>
      </c>
      <c r="F271" s="1">
        <v>4</v>
      </c>
      <c r="G271" s="1">
        <v>5</v>
      </c>
      <c r="H271" s="77">
        <v>6</v>
      </c>
      <c r="I271" s="160" t="s">
        <v>208</v>
      </c>
      <c r="J271" s="161"/>
      <c r="K271" s="161"/>
      <c r="L271" s="161"/>
      <c r="M271" s="161"/>
      <c r="N271" s="162"/>
    </row>
    <row r="272" spans="2:14" ht="15.75" x14ac:dyDescent="0.25">
      <c r="B272" s="87" t="s">
        <v>10</v>
      </c>
      <c r="C272" s="19">
        <v>46</v>
      </c>
      <c r="D272" s="19">
        <v>47</v>
      </c>
      <c r="E272" s="19">
        <v>46</v>
      </c>
      <c r="F272" s="19">
        <v>46</v>
      </c>
      <c r="G272" s="19">
        <v>46</v>
      </c>
      <c r="H272" s="95">
        <v>47</v>
      </c>
      <c r="I272" s="163"/>
      <c r="J272" s="164"/>
      <c r="K272" s="164"/>
      <c r="L272" s="164"/>
      <c r="M272" s="164"/>
      <c r="N272" s="165"/>
    </row>
    <row r="273" spans="2:14" ht="16.5" thickBot="1" x14ac:dyDescent="0.3">
      <c r="B273" s="94" t="s">
        <v>12</v>
      </c>
      <c r="C273" s="93">
        <v>34</v>
      </c>
      <c r="D273" s="93">
        <v>36</v>
      </c>
      <c r="E273" s="93">
        <v>37</v>
      </c>
      <c r="F273" s="93">
        <v>44</v>
      </c>
      <c r="G273" s="93">
        <v>38</v>
      </c>
      <c r="H273" s="97">
        <v>40</v>
      </c>
      <c r="I273" s="166"/>
      <c r="J273" s="167"/>
      <c r="K273" s="167"/>
      <c r="L273" s="167"/>
      <c r="M273" s="167"/>
      <c r="N273" s="168"/>
    </row>
    <row r="277" spans="2:14" ht="15.75" thickBot="1" x14ac:dyDescent="0.3"/>
    <row r="278" spans="2:14" ht="15.75" x14ac:dyDescent="0.25">
      <c r="B278" s="2" t="s">
        <v>0</v>
      </c>
      <c r="C278" s="175" t="s">
        <v>202</v>
      </c>
      <c r="D278" s="176"/>
      <c r="E278" s="177" t="s">
        <v>1</v>
      </c>
      <c r="F278" s="178"/>
      <c r="G278" s="11">
        <v>140</v>
      </c>
      <c r="H278" s="179" t="s">
        <v>2</v>
      </c>
      <c r="I278" s="180"/>
      <c r="J278" s="181"/>
      <c r="K278" s="13">
        <v>140</v>
      </c>
      <c r="L278" s="3"/>
      <c r="M278" s="80" t="s">
        <v>11</v>
      </c>
      <c r="N278" s="98">
        <v>45161</v>
      </c>
    </row>
    <row r="279" spans="2:14" ht="15.75" x14ac:dyDescent="0.25">
      <c r="B279" s="4" t="s">
        <v>3</v>
      </c>
      <c r="C279" s="10">
        <v>19719</v>
      </c>
      <c r="D279" s="169" t="s">
        <v>57</v>
      </c>
      <c r="E279" s="170"/>
      <c r="F279" s="171"/>
      <c r="G279" s="18">
        <v>7020</v>
      </c>
      <c r="H279" s="172" t="s">
        <v>4</v>
      </c>
      <c r="I279" s="173"/>
      <c r="J279" s="174"/>
      <c r="K279" s="10">
        <v>62</v>
      </c>
      <c r="L279" s="15"/>
      <c r="M279" s="15"/>
      <c r="N279" s="16"/>
    </row>
    <row r="280" spans="2:14" ht="15.75" x14ac:dyDescent="0.25">
      <c r="B280" s="4" t="s">
        <v>5</v>
      </c>
      <c r="C280" s="19">
        <v>62</v>
      </c>
      <c r="D280" s="169" t="s">
        <v>8</v>
      </c>
      <c r="E280" s="170"/>
      <c r="F280" s="171"/>
      <c r="G280" s="17">
        <v>0.3</v>
      </c>
      <c r="H280" s="172" t="s">
        <v>9</v>
      </c>
      <c r="I280" s="173"/>
      <c r="J280" s="174"/>
      <c r="K280" s="12">
        <v>0.9</v>
      </c>
      <c r="L280" s="172" t="s">
        <v>6</v>
      </c>
      <c r="M280" s="174"/>
      <c r="N280" s="20">
        <v>3.19</v>
      </c>
    </row>
    <row r="281" spans="2:14" ht="16.5" thickBot="1" x14ac:dyDescent="0.3">
      <c r="B281" s="5"/>
      <c r="C281" s="9"/>
      <c r="D281" s="9"/>
      <c r="E281" s="9"/>
      <c r="F281" s="9"/>
      <c r="G281" s="9"/>
      <c r="H281" s="79"/>
      <c r="I281" s="21"/>
      <c r="J281" s="21"/>
      <c r="K281" s="21"/>
      <c r="L281" s="21"/>
      <c r="M281" s="21"/>
      <c r="N281" s="6"/>
    </row>
    <row r="282" spans="2:14" ht="15.75" x14ac:dyDescent="0.25">
      <c r="B282" s="7" t="s">
        <v>7</v>
      </c>
      <c r="C282" s="1">
        <v>1</v>
      </c>
      <c r="D282" s="1">
        <v>2</v>
      </c>
      <c r="E282" s="1">
        <v>3</v>
      </c>
      <c r="F282" s="1">
        <v>4</v>
      </c>
      <c r="G282" s="1">
        <v>5</v>
      </c>
      <c r="H282" s="77">
        <v>6</v>
      </c>
      <c r="I282" s="160" t="s">
        <v>209</v>
      </c>
      <c r="J282" s="161"/>
      <c r="K282" s="161"/>
      <c r="L282" s="161"/>
      <c r="M282" s="161"/>
      <c r="N282" s="162"/>
    </row>
    <row r="283" spans="2:14" ht="15.75" x14ac:dyDescent="0.25">
      <c r="B283" s="87" t="s">
        <v>10</v>
      </c>
      <c r="C283" s="19">
        <v>45</v>
      </c>
      <c r="D283" s="19">
        <v>44</v>
      </c>
      <c r="E283" s="19">
        <v>45</v>
      </c>
      <c r="F283" s="19">
        <v>45</v>
      </c>
      <c r="G283" s="19">
        <v>45</v>
      </c>
      <c r="H283" s="95">
        <v>45</v>
      </c>
      <c r="I283" s="163"/>
      <c r="J283" s="164"/>
      <c r="K283" s="164"/>
      <c r="L283" s="164"/>
      <c r="M283" s="164"/>
      <c r="N283" s="165"/>
    </row>
    <row r="284" spans="2:14" ht="16.5" thickBot="1" x14ac:dyDescent="0.3">
      <c r="B284" s="94" t="s">
        <v>12</v>
      </c>
      <c r="C284" s="93">
        <v>39</v>
      </c>
      <c r="D284" s="93">
        <v>41</v>
      </c>
      <c r="E284" s="93">
        <v>43</v>
      </c>
      <c r="F284" s="93">
        <v>48</v>
      </c>
      <c r="G284" s="93">
        <v>43</v>
      </c>
      <c r="H284" s="97">
        <v>44</v>
      </c>
      <c r="I284" s="166"/>
      <c r="J284" s="167"/>
      <c r="K284" s="167"/>
      <c r="L284" s="167"/>
      <c r="M284" s="167"/>
      <c r="N284" s="168"/>
    </row>
    <row r="288" spans="2:14" ht="15.75" thickBot="1" x14ac:dyDescent="0.3"/>
    <row r="289" spans="2:14" ht="15.75" x14ac:dyDescent="0.25">
      <c r="B289" s="2" t="s">
        <v>0</v>
      </c>
      <c r="C289" s="175" t="s">
        <v>202</v>
      </c>
      <c r="D289" s="176"/>
      <c r="E289" s="177" t="s">
        <v>1</v>
      </c>
      <c r="F289" s="178"/>
      <c r="G289" s="11">
        <v>140</v>
      </c>
      <c r="H289" s="179" t="s">
        <v>2</v>
      </c>
      <c r="I289" s="180"/>
      <c r="J289" s="181"/>
      <c r="K289" s="13">
        <v>140</v>
      </c>
      <c r="L289" s="3"/>
      <c r="M289" s="80" t="s">
        <v>11</v>
      </c>
      <c r="N289" s="98">
        <v>45172</v>
      </c>
    </row>
    <row r="290" spans="2:14" ht="15.75" x14ac:dyDescent="0.25">
      <c r="B290" s="4" t="s">
        <v>3</v>
      </c>
      <c r="C290" s="10">
        <v>19927</v>
      </c>
      <c r="D290" s="169" t="s">
        <v>57</v>
      </c>
      <c r="E290" s="170"/>
      <c r="F290" s="171"/>
      <c r="G290" s="18">
        <v>5844</v>
      </c>
      <c r="H290" s="172" t="s">
        <v>4</v>
      </c>
      <c r="I290" s="173"/>
      <c r="J290" s="174"/>
      <c r="K290" s="10">
        <v>54</v>
      </c>
      <c r="L290" s="15"/>
      <c r="M290" s="15"/>
      <c r="N290" s="16"/>
    </row>
    <row r="291" spans="2:14" ht="15.75" x14ac:dyDescent="0.25">
      <c r="B291" s="4" t="s">
        <v>5</v>
      </c>
      <c r="C291" s="19">
        <v>59</v>
      </c>
      <c r="D291" s="169" t="s">
        <v>8</v>
      </c>
      <c r="E291" s="170"/>
      <c r="F291" s="171"/>
      <c r="G291" s="17">
        <v>0.28999999999999998</v>
      </c>
      <c r="H291" s="172" t="s">
        <v>9</v>
      </c>
      <c r="I291" s="173"/>
      <c r="J291" s="174"/>
      <c r="K291" s="12">
        <v>0.9</v>
      </c>
      <c r="L291" s="172" t="s">
        <v>6</v>
      </c>
      <c r="M291" s="174"/>
      <c r="N291" s="20">
        <v>3.41</v>
      </c>
    </row>
    <row r="292" spans="2:14" ht="16.5" thickBot="1" x14ac:dyDescent="0.3">
      <c r="B292" s="5"/>
      <c r="C292" s="9"/>
      <c r="D292" s="9"/>
      <c r="E292" s="9"/>
      <c r="F292" s="9"/>
      <c r="G292" s="9"/>
      <c r="H292" s="79"/>
      <c r="I292" s="21"/>
      <c r="J292" s="21"/>
      <c r="K292" s="21"/>
      <c r="L292" s="21"/>
      <c r="M292" s="21"/>
      <c r="N292" s="6"/>
    </row>
    <row r="293" spans="2:14" ht="15.75" x14ac:dyDescent="0.25">
      <c r="B293" s="7" t="s">
        <v>7</v>
      </c>
      <c r="C293" s="1">
        <v>1</v>
      </c>
      <c r="D293" s="1">
        <v>2</v>
      </c>
      <c r="E293" s="1">
        <v>3</v>
      </c>
      <c r="F293" s="1">
        <v>4</v>
      </c>
      <c r="G293" s="1">
        <v>5</v>
      </c>
      <c r="H293" s="77">
        <v>6</v>
      </c>
      <c r="I293" s="160" t="s">
        <v>210</v>
      </c>
      <c r="J293" s="161"/>
      <c r="K293" s="161"/>
      <c r="L293" s="161"/>
      <c r="M293" s="161"/>
      <c r="N293" s="162"/>
    </row>
    <row r="294" spans="2:14" ht="15.75" x14ac:dyDescent="0.25">
      <c r="B294" s="87" t="s">
        <v>10</v>
      </c>
      <c r="C294" s="19">
        <v>47</v>
      </c>
      <c r="D294" s="19">
        <v>42</v>
      </c>
      <c r="E294" s="19">
        <v>44</v>
      </c>
      <c r="F294" s="19">
        <v>47</v>
      </c>
      <c r="G294" s="19">
        <v>46</v>
      </c>
      <c r="H294" s="95">
        <v>47</v>
      </c>
      <c r="I294" s="163"/>
      <c r="J294" s="164"/>
      <c r="K294" s="164"/>
      <c r="L294" s="164"/>
      <c r="M294" s="164"/>
      <c r="N294" s="165"/>
    </row>
    <row r="295" spans="2:14" ht="16.5" thickBot="1" x14ac:dyDescent="0.3">
      <c r="B295" s="94" t="s">
        <v>12</v>
      </c>
      <c r="C295" s="93">
        <v>42</v>
      </c>
      <c r="D295" s="93">
        <v>43</v>
      </c>
      <c r="E295" s="93">
        <v>45</v>
      </c>
      <c r="F295" s="93">
        <v>46</v>
      </c>
      <c r="G295" s="93">
        <v>47</v>
      </c>
      <c r="H295" s="97">
        <v>42</v>
      </c>
      <c r="I295" s="166"/>
      <c r="J295" s="167"/>
      <c r="K295" s="167"/>
      <c r="L295" s="167"/>
      <c r="M295" s="167"/>
      <c r="N295" s="168"/>
    </row>
    <row r="297" spans="2:14" ht="15.75" thickBot="1" x14ac:dyDescent="0.3"/>
    <row r="298" spans="2:14" ht="15.75" x14ac:dyDescent="0.25">
      <c r="B298" s="2" t="s">
        <v>0</v>
      </c>
      <c r="C298" s="175" t="s">
        <v>202</v>
      </c>
      <c r="D298" s="176"/>
      <c r="E298" s="177" t="s">
        <v>1</v>
      </c>
      <c r="F298" s="178"/>
      <c r="G298" s="11">
        <v>140</v>
      </c>
      <c r="H298" s="179" t="s">
        <v>2</v>
      </c>
      <c r="I298" s="180"/>
      <c r="J298" s="181"/>
      <c r="K298" s="13">
        <v>140</v>
      </c>
      <c r="L298" s="3"/>
      <c r="M298" s="80" t="s">
        <v>11</v>
      </c>
      <c r="N298" s="98">
        <v>45179</v>
      </c>
    </row>
    <row r="299" spans="2:14" ht="15.75" x14ac:dyDescent="0.25">
      <c r="B299" s="4" t="s">
        <v>3</v>
      </c>
      <c r="C299" s="10">
        <v>20077</v>
      </c>
      <c r="D299" s="169" t="s">
        <v>57</v>
      </c>
      <c r="E299" s="170"/>
      <c r="F299" s="171"/>
      <c r="G299" s="18">
        <v>5423</v>
      </c>
      <c r="H299" s="172" t="s">
        <v>4</v>
      </c>
      <c r="I299" s="173"/>
      <c r="J299" s="174"/>
      <c r="K299" s="10">
        <v>54</v>
      </c>
      <c r="L299" s="15"/>
      <c r="M299" s="15"/>
      <c r="N299" s="16"/>
    </row>
    <row r="300" spans="2:14" ht="15.75" x14ac:dyDescent="0.25">
      <c r="B300" s="4" t="s">
        <v>5</v>
      </c>
      <c r="C300" s="19">
        <v>54</v>
      </c>
      <c r="D300" s="169" t="s">
        <v>8</v>
      </c>
      <c r="E300" s="170"/>
      <c r="F300" s="171"/>
      <c r="G300" s="17">
        <v>0.28999999999999998</v>
      </c>
      <c r="H300" s="172" t="s">
        <v>9</v>
      </c>
      <c r="I300" s="173"/>
      <c r="J300" s="174"/>
      <c r="K300" s="12">
        <v>0.88</v>
      </c>
      <c r="L300" s="172" t="s">
        <v>6</v>
      </c>
      <c r="M300" s="174"/>
      <c r="N300" s="20">
        <v>3.32</v>
      </c>
    </row>
    <row r="301" spans="2:14" ht="16.5" thickBot="1" x14ac:dyDescent="0.3">
      <c r="B301" s="5"/>
      <c r="C301" s="9"/>
      <c r="D301" s="9"/>
      <c r="E301" s="9"/>
      <c r="F301" s="9"/>
      <c r="G301" s="9"/>
      <c r="H301" s="79"/>
      <c r="I301" s="21"/>
      <c r="J301" s="21"/>
      <c r="K301" s="21"/>
      <c r="L301" s="21"/>
      <c r="M301" s="21"/>
      <c r="N301" s="6"/>
    </row>
    <row r="302" spans="2:14" ht="15.75" x14ac:dyDescent="0.25">
      <c r="B302" s="7" t="s">
        <v>7</v>
      </c>
      <c r="C302" s="1">
        <v>1</v>
      </c>
      <c r="D302" s="1">
        <v>2</v>
      </c>
      <c r="E302" s="1">
        <v>3</v>
      </c>
      <c r="F302" s="1">
        <v>4</v>
      </c>
      <c r="G302" s="1">
        <v>5</v>
      </c>
      <c r="H302" s="77">
        <v>6</v>
      </c>
      <c r="I302" s="160" t="s">
        <v>211</v>
      </c>
      <c r="J302" s="161"/>
      <c r="K302" s="161"/>
      <c r="L302" s="161"/>
      <c r="M302" s="161"/>
      <c r="N302" s="162"/>
    </row>
    <row r="303" spans="2:14" ht="15.75" x14ac:dyDescent="0.25">
      <c r="B303" s="87" t="s">
        <v>10</v>
      </c>
      <c r="C303" s="19">
        <v>45</v>
      </c>
      <c r="D303" s="19">
        <v>42</v>
      </c>
      <c r="E303" s="19">
        <v>44</v>
      </c>
      <c r="F303" s="19">
        <v>44</v>
      </c>
      <c r="G303" s="19">
        <v>46</v>
      </c>
      <c r="H303" s="95">
        <v>45</v>
      </c>
      <c r="I303" s="163"/>
      <c r="J303" s="164"/>
      <c r="K303" s="164"/>
      <c r="L303" s="164"/>
      <c r="M303" s="164"/>
      <c r="N303" s="165"/>
    </row>
    <row r="304" spans="2:14" ht="16.5" thickBot="1" x14ac:dyDescent="0.3">
      <c r="B304" s="94" t="s">
        <v>12</v>
      </c>
      <c r="C304" s="93">
        <v>42</v>
      </c>
      <c r="D304" s="93">
        <v>43</v>
      </c>
      <c r="E304" s="93">
        <v>45</v>
      </c>
      <c r="F304" s="93">
        <v>46</v>
      </c>
      <c r="G304" s="93">
        <v>47</v>
      </c>
      <c r="H304" s="97">
        <v>42</v>
      </c>
      <c r="I304" s="166"/>
      <c r="J304" s="167"/>
      <c r="K304" s="167"/>
      <c r="L304" s="167"/>
      <c r="M304" s="167"/>
      <c r="N304" s="168"/>
    </row>
    <row r="305" spans="2:14" ht="15.75" x14ac:dyDescent="0.25">
      <c r="B305" s="110"/>
      <c r="C305" s="85"/>
      <c r="D305" s="85"/>
      <c r="E305" s="85"/>
      <c r="F305" s="85"/>
      <c r="G305" s="85"/>
      <c r="H305" s="86"/>
      <c r="I305" s="109"/>
      <c r="J305" s="109"/>
      <c r="K305" s="109"/>
      <c r="L305" s="109"/>
      <c r="M305" s="109"/>
      <c r="N305" s="109"/>
    </row>
    <row r="306" spans="2:14" ht="15.75" thickBot="1" x14ac:dyDescent="0.3"/>
    <row r="307" spans="2:14" ht="15.75" x14ac:dyDescent="0.25">
      <c r="B307" s="2" t="s">
        <v>0</v>
      </c>
      <c r="C307" s="175" t="s">
        <v>202</v>
      </c>
      <c r="D307" s="176"/>
      <c r="E307" s="177" t="s">
        <v>1</v>
      </c>
      <c r="F307" s="178"/>
      <c r="G307" s="11">
        <v>140</v>
      </c>
      <c r="H307" s="179" t="s">
        <v>2</v>
      </c>
      <c r="I307" s="180"/>
      <c r="J307" s="181"/>
      <c r="K307" s="13">
        <v>140</v>
      </c>
      <c r="L307" s="3"/>
      <c r="M307" s="80" t="s">
        <v>11</v>
      </c>
      <c r="N307" s="98">
        <v>45185</v>
      </c>
    </row>
    <row r="308" spans="2:14" ht="15.75" x14ac:dyDescent="0.25">
      <c r="B308" s="4" t="s">
        <v>3</v>
      </c>
      <c r="C308" s="10">
        <v>20247</v>
      </c>
      <c r="D308" s="169" t="s">
        <v>57</v>
      </c>
      <c r="E308" s="170"/>
      <c r="F308" s="171"/>
      <c r="G308" s="18">
        <v>5232</v>
      </c>
      <c r="H308" s="172" t="s">
        <v>4</v>
      </c>
      <c r="I308" s="173"/>
      <c r="J308" s="174"/>
      <c r="K308" s="10">
        <v>52</v>
      </c>
      <c r="L308" s="15"/>
      <c r="M308" s="15"/>
      <c r="N308" s="16"/>
    </row>
    <row r="309" spans="2:14" ht="15.75" x14ac:dyDescent="0.25">
      <c r="B309" s="4" t="s">
        <v>5</v>
      </c>
      <c r="C309" s="19">
        <v>51</v>
      </c>
      <c r="D309" s="169" t="s">
        <v>8</v>
      </c>
      <c r="E309" s="170"/>
      <c r="F309" s="171"/>
      <c r="G309" s="17">
        <v>0.28999999999999998</v>
      </c>
      <c r="H309" s="172" t="s">
        <v>9</v>
      </c>
      <c r="I309" s="173"/>
      <c r="J309" s="174"/>
      <c r="K309" s="12">
        <v>0.85</v>
      </c>
      <c r="L309" s="172" t="s">
        <v>6</v>
      </c>
      <c r="M309" s="174"/>
      <c r="N309" s="20">
        <v>3.32</v>
      </c>
    </row>
    <row r="310" spans="2:14" ht="16.5" thickBot="1" x14ac:dyDescent="0.3">
      <c r="B310" s="5"/>
      <c r="C310" s="9"/>
      <c r="D310" s="9"/>
      <c r="E310" s="9"/>
      <c r="F310" s="9"/>
      <c r="G310" s="9"/>
      <c r="H310" s="79"/>
      <c r="I310" s="21"/>
      <c r="J310" s="21"/>
      <c r="K310" s="21"/>
      <c r="L310" s="21"/>
      <c r="M310" s="21"/>
      <c r="N310" s="6"/>
    </row>
    <row r="311" spans="2:14" ht="15.75" x14ac:dyDescent="0.25">
      <c r="B311" s="7" t="s">
        <v>7</v>
      </c>
      <c r="C311" s="1">
        <v>1</v>
      </c>
      <c r="D311" s="1">
        <v>2</v>
      </c>
      <c r="E311" s="1">
        <v>3</v>
      </c>
      <c r="F311" s="1">
        <v>4</v>
      </c>
      <c r="G311" s="1">
        <v>5</v>
      </c>
      <c r="H311" s="77">
        <v>6</v>
      </c>
      <c r="I311" s="160" t="s">
        <v>212</v>
      </c>
      <c r="J311" s="161"/>
      <c r="K311" s="161"/>
      <c r="L311" s="161"/>
      <c r="M311" s="161"/>
      <c r="N311" s="162"/>
    </row>
    <row r="312" spans="2:14" ht="15.75" x14ac:dyDescent="0.25">
      <c r="B312" s="87" t="s">
        <v>10</v>
      </c>
      <c r="C312" s="19">
        <v>45</v>
      </c>
      <c r="D312" s="19">
        <v>43</v>
      </c>
      <c r="E312" s="19">
        <v>44</v>
      </c>
      <c r="F312" s="19">
        <v>43</v>
      </c>
      <c r="G312" s="19">
        <v>45</v>
      </c>
      <c r="H312" s="95">
        <v>44</v>
      </c>
      <c r="I312" s="163"/>
      <c r="J312" s="164"/>
      <c r="K312" s="164"/>
      <c r="L312" s="164"/>
      <c r="M312" s="164"/>
      <c r="N312" s="165"/>
    </row>
    <row r="313" spans="2:14" ht="16.5" thickBot="1" x14ac:dyDescent="0.3">
      <c r="B313" s="94" t="s">
        <v>12</v>
      </c>
      <c r="C313" s="93">
        <v>45</v>
      </c>
      <c r="D313" s="93">
        <v>44</v>
      </c>
      <c r="E313" s="93">
        <v>46</v>
      </c>
      <c r="F313" s="93">
        <v>48</v>
      </c>
      <c r="G313" s="93">
        <v>47</v>
      </c>
      <c r="H313" s="97">
        <v>45</v>
      </c>
      <c r="I313" s="166"/>
      <c r="J313" s="167"/>
      <c r="K313" s="167"/>
      <c r="L313" s="167"/>
      <c r="M313" s="167"/>
      <c r="N313" s="168"/>
    </row>
    <row r="315" spans="2:14" ht="15.75" thickBot="1" x14ac:dyDescent="0.3"/>
    <row r="316" spans="2:14" ht="15.75" x14ac:dyDescent="0.25">
      <c r="B316" s="2" t="s">
        <v>0</v>
      </c>
      <c r="C316" s="175" t="s">
        <v>202</v>
      </c>
      <c r="D316" s="176"/>
      <c r="E316" s="177" t="s">
        <v>1</v>
      </c>
      <c r="F316" s="178"/>
      <c r="G316" s="11">
        <v>140</v>
      </c>
      <c r="H316" s="179" t="s">
        <v>2</v>
      </c>
      <c r="I316" s="180"/>
      <c r="J316" s="181"/>
      <c r="K316" s="13">
        <v>140</v>
      </c>
      <c r="L316" s="3"/>
      <c r="M316" s="80" t="s">
        <v>11</v>
      </c>
      <c r="N316" s="98">
        <v>45191</v>
      </c>
    </row>
    <row r="317" spans="2:14" ht="15.75" x14ac:dyDescent="0.25">
      <c r="B317" s="4" t="s">
        <v>3</v>
      </c>
      <c r="C317" s="10">
        <v>20380</v>
      </c>
      <c r="D317" s="169" t="s">
        <v>57</v>
      </c>
      <c r="E317" s="170"/>
      <c r="F317" s="171"/>
      <c r="G317" s="18">
        <v>5568</v>
      </c>
      <c r="H317" s="172" t="s">
        <v>4</v>
      </c>
      <c r="I317" s="173"/>
      <c r="J317" s="174"/>
      <c r="K317" s="10">
        <v>54</v>
      </c>
      <c r="L317" s="15"/>
      <c r="M317" s="15"/>
      <c r="N317" s="16"/>
    </row>
    <row r="318" spans="2:14" ht="15.75" x14ac:dyDescent="0.25">
      <c r="B318" s="4" t="s">
        <v>5</v>
      </c>
      <c r="C318" s="19">
        <v>55</v>
      </c>
      <c r="D318" s="169" t="s">
        <v>8</v>
      </c>
      <c r="E318" s="170"/>
      <c r="F318" s="171"/>
      <c r="G318" s="17">
        <v>0.28999999999999998</v>
      </c>
      <c r="H318" s="172" t="s">
        <v>9</v>
      </c>
      <c r="I318" s="173"/>
      <c r="J318" s="174"/>
      <c r="K318" s="12">
        <v>0.83</v>
      </c>
      <c r="L318" s="172" t="s">
        <v>6</v>
      </c>
      <c r="M318" s="174"/>
      <c r="N318" s="20">
        <v>3.32</v>
      </c>
    </row>
    <row r="319" spans="2:14" ht="16.5" thickBot="1" x14ac:dyDescent="0.3">
      <c r="B319" s="5"/>
      <c r="C319" s="9"/>
      <c r="D319" s="9"/>
      <c r="E319" s="9"/>
      <c r="F319" s="9"/>
      <c r="G319" s="9"/>
      <c r="H319" s="79"/>
      <c r="I319" s="21"/>
      <c r="J319" s="21"/>
      <c r="K319" s="21"/>
      <c r="L319" s="21"/>
      <c r="M319" s="21"/>
      <c r="N319" s="6"/>
    </row>
    <row r="320" spans="2:14" ht="15.75" x14ac:dyDescent="0.25">
      <c r="B320" s="7" t="s">
        <v>7</v>
      </c>
      <c r="C320" s="1">
        <v>1</v>
      </c>
      <c r="D320" s="1">
        <v>2</v>
      </c>
      <c r="E320" s="1">
        <v>3</v>
      </c>
      <c r="F320" s="1">
        <v>4</v>
      </c>
      <c r="G320" s="1">
        <v>5</v>
      </c>
      <c r="H320" s="77">
        <v>6</v>
      </c>
      <c r="I320" s="160" t="s">
        <v>213</v>
      </c>
      <c r="J320" s="161"/>
      <c r="K320" s="161"/>
      <c r="L320" s="161"/>
      <c r="M320" s="161"/>
      <c r="N320" s="162"/>
    </row>
    <row r="321" spans="2:14" ht="15.75" x14ac:dyDescent="0.25">
      <c r="B321" s="87" t="s">
        <v>10</v>
      </c>
      <c r="C321" s="19">
        <v>46</v>
      </c>
      <c r="D321" s="19">
        <v>44</v>
      </c>
      <c r="E321" s="19">
        <v>43</v>
      </c>
      <c r="F321" s="19">
        <v>41</v>
      </c>
      <c r="G321" s="19">
        <v>45</v>
      </c>
      <c r="H321" s="95">
        <v>42</v>
      </c>
      <c r="I321" s="163"/>
      <c r="J321" s="164"/>
      <c r="K321" s="164"/>
      <c r="L321" s="164"/>
      <c r="M321" s="164"/>
      <c r="N321" s="165"/>
    </row>
    <row r="322" spans="2:14" ht="16.5" thickBot="1" x14ac:dyDescent="0.3">
      <c r="B322" s="94" t="s">
        <v>12</v>
      </c>
      <c r="C322" s="93">
        <v>48</v>
      </c>
      <c r="D322" s="93">
        <v>46</v>
      </c>
      <c r="E322" s="93">
        <v>47</v>
      </c>
      <c r="F322" s="93">
        <v>49</v>
      </c>
      <c r="G322" s="93">
        <v>49</v>
      </c>
      <c r="H322" s="97">
        <v>48</v>
      </c>
      <c r="I322" s="166"/>
      <c r="J322" s="167"/>
      <c r="K322" s="167"/>
      <c r="L322" s="167"/>
      <c r="M322" s="167"/>
      <c r="N322" s="168"/>
    </row>
    <row r="324" spans="2:14" ht="15.75" thickBot="1" x14ac:dyDescent="0.3"/>
    <row r="325" spans="2:14" ht="15.75" x14ac:dyDescent="0.25">
      <c r="B325" s="2" t="s">
        <v>0</v>
      </c>
      <c r="C325" s="175" t="s">
        <v>202</v>
      </c>
      <c r="D325" s="176"/>
      <c r="E325" s="177" t="s">
        <v>1</v>
      </c>
      <c r="F325" s="178"/>
      <c r="G325" s="11">
        <v>140</v>
      </c>
      <c r="H325" s="179" t="s">
        <v>2</v>
      </c>
      <c r="I325" s="180"/>
      <c r="J325" s="181"/>
      <c r="K325" s="13">
        <v>140</v>
      </c>
      <c r="L325" s="3"/>
      <c r="M325" s="80" t="s">
        <v>11</v>
      </c>
      <c r="N325" s="98">
        <v>45199</v>
      </c>
    </row>
    <row r="326" spans="2:14" ht="15.75" x14ac:dyDescent="0.25">
      <c r="B326" s="4" t="s">
        <v>3</v>
      </c>
      <c r="C326" s="10">
        <v>20462</v>
      </c>
      <c r="D326" s="169" t="s">
        <v>57</v>
      </c>
      <c r="E326" s="170"/>
      <c r="F326" s="171"/>
      <c r="G326" s="18">
        <v>6760</v>
      </c>
      <c r="H326" s="172" t="s">
        <v>4</v>
      </c>
      <c r="I326" s="173"/>
      <c r="J326" s="174"/>
      <c r="K326" s="10">
        <v>58</v>
      </c>
      <c r="L326" s="15"/>
      <c r="M326" s="15"/>
      <c r="N326" s="16"/>
    </row>
    <row r="327" spans="2:14" ht="15.75" x14ac:dyDescent="0.25">
      <c r="B327" s="4" t="s">
        <v>5</v>
      </c>
      <c r="C327" s="19">
        <v>60</v>
      </c>
      <c r="D327" s="169" t="s">
        <v>8</v>
      </c>
      <c r="E327" s="170"/>
      <c r="F327" s="171"/>
      <c r="G327" s="17">
        <v>0.28999999999999998</v>
      </c>
      <c r="H327" s="172" t="s">
        <v>9</v>
      </c>
      <c r="I327" s="173"/>
      <c r="J327" s="174"/>
      <c r="K327" s="12">
        <v>0.85</v>
      </c>
      <c r="L327" s="172" t="s">
        <v>6</v>
      </c>
      <c r="M327" s="174"/>
      <c r="N327" s="20">
        <v>3.32</v>
      </c>
    </row>
    <row r="328" spans="2:14" ht="16.5" thickBot="1" x14ac:dyDescent="0.3">
      <c r="B328" s="5"/>
      <c r="C328" s="9"/>
      <c r="D328" s="9"/>
      <c r="E328" s="9"/>
      <c r="F328" s="9"/>
      <c r="G328" s="9"/>
      <c r="H328" s="79"/>
      <c r="I328" s="21"/>
      <c r="J328" s="21"/>
      <c r="K328" s="21"/>
      <c r="L328" s="21"/>
      <c r="M328" s="21"/>
      <c r="N328" s="6"/>
    </row>
    <row r="329" spans="2:14" ht="15.75" x14ac:dyDescent="0.25">
      <c r="B329" s="7" t="s">
        <v>7</v>
      </c>
      <c r="C329" s="1">
        <v>1</v>
      </c>
      <c r="D329" s="1">
        <v>2</v>
      </c>
      <c r="E329" s="1">
        <v>3</v>
      </c>
      <c r="F329" s="1">
        <v>4</v>
      </c>
      <c r="G329" s="1">
        <v>5</v>
      </c>
      <c r="H329" s="77">
        <v>6</v>
      </c>
      <c r="I329" s="160" t="s">
        <v>214</v>
      </c>
      <c r="J329" s="161"/>
      <c r="K329" s="161"/>
      <c r="L329" s="161"/>
      <c r="M329" s="161"/>
      <c r="N329" s="162"/>
    </row>
    <row r="330" spans="2:14" ht="15.75" x14ac:dyDescent="0.25">
      <c r="B330" s="87" t="s">
        <v>10</v>
      </c>
      <c r="C330" s="19">
        <v>45</v>
      </c>
      <c r="D330" s="19">
        <v>44</v>
      </c>
      <c r="E330" s="19">
        <v>44</v>
      </c>
      <c r="F330" s="19">
        <v>43</v>
      </c>
      <c r="G330" s="19">
        <v>46</v>
      </c>
      <c r="H330" s="95">
        <v>42</v>
      </c>
      <c r="I330" s="163"/>
      <c r="J330" s="164"/>
      <c r="K330" s="164"/>
      <c r="L330" s="164"/>
      <c r="M330" s="164"/>
      <c r="N330" s="165"/>
    </row>
    <row r="331" spans="2:14" ht="16.5" thickBot="1" x14ac:dyDescent="0.3">
      <c r="B331" s="94" t="s">
        <v>12</v>
      </c>
      <c r="C331" s="93">
        <v>53</v>
      </c>
      <c r="D331" s="93">
        <v>52</v>
      </c>
      <c r="E331" s="93">
        <v>53</v>
      </c>
      <c r="F331" s="93">
        <v>55</v>
      </c>
      <c r="G331" s="93">
        <v>54</v>
      </c>
      <c r="H331" s="97">
        <v>52</v>
      </c>
      <c r="I331" s="166"/>
      <c r="J331" s="167"/>
      <c r="K331" s="167"/>
      <c r="L331" s="167"/>
      <c r="M331" s="167"/>
      <c r="N331" s="168"/>
    </row>
    <row r="333" spans="2:14" ht="15.75" thickBot="1" x14ac:dyDescent="0.3"/>
    <row r="334" spans="2:14" ht="15.75" x14ac:dyDescent="0.25">
      <c r="B334" s="2" t="s">
        <v>0</v>
      </c>
      <c r="C334" s="175" t="s">
        <v>202</v>
      </c>
      <c r="D334" s="176"/>
      <c r="E334" s="177" t="s">
        <v>1</v>
      </c>
      <c r="F334" s="178"/>
      <c r="G334" s="11">
        <v>140</v>
      </c>
      <c r="H334" s="179" t="s">
        <v>2</v>
      </c>
      <c r="I334" s="180"/>
      <c r="J334" s="181"/>
      <c r="K334" s="13">
        <v>140</v>
      </c>
      <c r="L334" s="3"/>
      <c r="M334" s="80" t="s">
        <v>11</v>
      </c>
      <c r="N334" s="98">
        <v>45206</v>
      </c>
    </row>
    <row r="335" spans="2:14" ht="15.75" x14ac:dyDescent="0.25">
      <c r="B335" s="4" t="s">
        <v>3</v>
      </c>
      <c r="C335" s="10">
        <v>20627</v>
      </c>
      <c r="D335" s="169" t="s">
        <v>57</v>
      </c>
      <c r="E335" s="170"/>
      <c r="F335" s="171"/>
      <c r="G335" s="18">
        <v>8106</v>
      </c>
      <c r="H335" s="172" t="s">
        <v>4</v>
      </c>
      <c r="I335" s="173"/>
      <c r="J335" s="174"/>
      <c r="K335" s="10">
        <v>61</v>
      </c>
      <c r="L335" s="15"/>
      <c r="M335" s="15"/>
      <c r="N335" s="16"/>
    </row>
    <row r="336" spans="2:14" ht="15.75" x14ac:dyDescent="0.25">
      <c r="B336" s="4" t="s">
        <v>5</v>
      </c>
      <c r="C336" s="19">
        <v>72</v>
      </c>
      <c r="D336" s="169" t="s">
        <v>8</v>
      </c>
      <c r="E336" s="170"/>
      <c r="F336" s="171"/>
      <c r="G336" s="17">
        <v>0.28000000000000003</v>
      </c>
      <c r="H336" s="172" t="s">
        <v>9</v>
      </c>
      <c r="I336" s="173"/>
      <c r="J336" s="174"/>
      <c r="K336" s="12">
        <v>0.83</v>
      </c>
      <c r="L336" s="172" t="s">
        <v>6</v>
      </c>
      <c r="M336" s="174"/>
      <c r="N336" s="20">
        <v>3.32</v>
      </c>
    </row>
    <row r="337" spans="2:14" ht="16.5" thickBot="1" x14ac:dyDescent="0.3">
      <c r="B337" s="5"/>
      <c r="C337" s="9"/>
      <c r="D337" s="9"/>
      <c r="E337" s="9"/>
      <c r="F337" s="9"/>
      <c r="G337" s="9"/>
      <c r="H337" s="79"/>
      <c r="I337" s="21"/>
      <c r="J337" s="21"/>
      <c r="K337" s="21"/>
      <c r="L337" s="21"/>
      <c r="M337" s="21"/>
      <c r="N337" s="6"/>
    </row>
    <row r="338" spans="2:14" ht="15.75" x14ac:dyDescent="0.25">
      <c r="B338" s="7" t="s">
        <v>7</v>
      </c>
      <c r="C338" s="1">
        <v>1</v>
      </c>
      <c r="D338" s="1">
        <v>2</v>
      </c>
      <c r="E338" s="1">
        <v>3</v>
      </c>
      <c r="F338" s="1">
        <v>4</v>
      </c>
      <c r="G338" s="1">
        <v>5</v>
      </c>
      <c r="H338" s="77">
        <v>6</v>
      </c>
      <c r="I338" s="160" t="s">
        <v>215</v>
      </c>
      <c r="J338" s="161"/>
      <c r="K338" s="161"/>
      <c r="L338" s="161"/>
      <c r="M338" s="161"/>
      <c r="N338" s="162"/>
    </row>
    <row r="339" spans="2:14" ht="15.75" x14ac:dyDescent="0.25">
      <c r="B339" s="87" t="s">
        <v>10</v>
      </c>
      <c r="C339" s="19">
        <v>46</v>
      </c>
      <c r="D339" s="19">
        <v>45</v>
      </c>
      <c r="E339" s="19">
        <v>45</v>
      </c>
      <c r="F339" s="19">
        <v>44</v>
      </c>
      <c r="G339" s="19">
        <v>46</v>
      </c>
      <c r="H339" s="95">
        <v>43</v>
      </c>
      <c r="I339" s="163"/>
      <c r="J339" s="164"/>
      <c r="K339" s="164"/>
      <c r="L339" s="164"/>
      <c r="M339" s="164"/>
      <c r="N339" s="165"/>
    </row>
    <row r="340" spans="2:14" ht="16.5" thickBot="1" x14ac:dyDescent="0.3">
      <c r="B340" s="94" t="s">
        <v>12</v>
      </c>
      <c r="C340" s="93">
        <v>71</v>
      </c>
      <c r="D340" s="93">
        <v>64</v>
      </c>
      <c r="E340" s="93">
        <v>70</v>
      </c>
      <c r="F340" s="93">
        <v>54</v>
      </c>
      <c r="G340" s="93">
        <v>68</v>
      </c>
      <c r="H340" s="97">
        <v>70</v>
      </c>
      <c r="I340" s="166"/>
      <c r="J340" s="167"/>
      <c r="K340" s="167"/>
      <c r="L340" s="167"/>
      <c r="M340" s="167"/>
      <c r="N340" s="168"/>
    </row>
    <row r="342" spans="2:14" ht="15.75" thickBot="1" x14ac:dyDescent="0.3"/>
    <row r="343" spans="2:14" ht="15.75" x14ac:dyDescent="0.25">
      <c r="B343" s="2" t="s">
        <v>0</v>
      </c>
      <c r="C343" s="175" t="s">
        <v>202</v>
      </c>
      <c r="D343" s="176"/>
      <c r="E343" s="177" t="s">
        <v>1</v>
      </c>
      <c r="F343" s="178"/>
      <c r="G343" s="11">
        <v>140</v>
      </c>
      <c r="H343" s="179" t="s">
        <v>2</v>
      </c>
      <c r="I343" s="180"/>
      <c r="J343" s="181"/>
      <c r="K343" s="13">
        <v>140</v>
      </c>
      <c r="L343" s="3"/>
      <c r="M343" s="80" t="s">
        <v>11</v>
      </c>
      <c r="N343" s="98">
        <v>45208</v>
      </c>
    </row>
    <row r="344" spans="2:14" ht="15.75" x14ac:dyDescent="0.25">
      <c r="B344" s="4" t="s">
        <v>3</v>
      </c>
      <c r="C344" s="10">
        <v>20687</v>
      </c>
      <c r="D344" s="169" t="s">
        <v>57</v>
      </c>
      <c r="E344" s="170"/>
      <c r="F344" s="171"/>
      <c r="G344" s="18">
        <v>5560</v>
      </c>
      <c r="H344" s="172" t="s">
        <v>4</v>
      </c>
      <c r="I344" s="173"/>
      <c r="J344" s="174"/>
      <c r="K344" s="10">
        <v>56</v>
      </c>
      <c r="L344" s="15"/>
      <c r="M344" s="15"/>
      <c r="N344" s="16"/>
    </row>
    <row r="345" spans="2:14" ht="15.75" x14ac:dyDescent="0.25">
      <c r="B345" s="4" t="s">
        <v>5</v>
      </c>
      <c r="C345" s="19">
        <v>56</v>
      </c>
      <c r="D345" s="169" t="s">
        <v>8</v>
      </c>
      <c r="E345" s="170"/>
      <c r="F345" s="171"/>
      <c r="G345" s="17">
        <v>0.28000000000000003</v>
      </c>
      <c r="H345" s="172" t="s">
        <v>9</v>
      </c>
      <c r="I345" s="173"/>
      <c r="J345" s="174"/>
      <c r="K345" s="12">
        <v>0.83</v>
      </c>
      <c r="L345" s="172" t="s">
        <v>6</v>
      </c>
      <c r="M345" s="174"/>
      <c r="N345" s="20">
        <v>3.32</v>
      </c>
    </row>
    <row r="346" spans="2:14" ht="16.5" thickBot="1" x14ac:dyDescent="0.3">
      <c r="B346" s="5"/>
      <c r="C346" s="9"/>
      <c r="D346" s="9"/>
      <c r="E346" s="9"/>
      <c r="F346" s="9"/>
      <c r="G346" s="9"/>
      <c r="H346" s="79"/>
      <c r="I346" s="21"/>
      <c r="J346" s="21"/>
      <c r="K346" s="21"/>
      <c r="L346" s="21"/>
      <c r="M346" s="21"/>
      <c r="N346" s="6"/>
    </row>
    <row r="347" spans="2:14" ht="15.75" x14ac:dyDescent="0.25">
      <c r="B347" s="7" t="s">
        <v>7</v>
      </c>
      <c r="C347" s="1">
        <v>1</v>
      </c>
      <c r="D347" s="1">
        <v>2</v>
      </c>
      <c r="E347" s="1">
        <v>3</v>
      </c>
      <c r="F347" s="1">
        <v>4</v>
      </c>
      <c r="G347" s="1">
        <v>5</v>
      </c>
      <c r="H347" s="77">
        <v>6</v>
      </c>
      <c r="I347" s="160" t="s">
        <v>216</v>
      </c>
      <c r="J347" s="161"/>
      <c r="K347" s="161"/>
      <c r="L347" s="161"/>
      <c r="M347" s="161"/>
      <c r="N347" s="162"/>
    </row>
    <row r="348" spans="2:14" ht="15.75" x14ac:dyDescent="0.25">
      <c r="B348" s="87" t="s">
        <v>10</v>
      </c>
      <c r="C348" s="19">
        <v>46</v>
      </c>
      <c r="D348" s="19">
        <v>45</v>
      </c>
      <c r="E348" s="19">
        <v>45</v>
      </c>
      <c r="F348" s="19">
        <v>45</v>
      </c>
      <c r="G348" s="19">
        <v>44</v>
      </c>
      <c r="H348" s="95">
        <v>45</v>
      </c>
      <c r="I348" s="163"/>
      <c r="J348" s="164"/>
      <c r="K348" s="164"/>
      <c r="L348" s="164"/>
      <c r="M348" s="164"/>
      <c r="N348" s="165"/>
    </row>
    <row r="349" spans="2:14" ht="16.5" thickBot="1" x14ac:dyDescent="0.3">
      <c r="B349" s="94" t="s">
        <v>12</v>
      </c>
      <c r="C349" s="93">
        <v>73</v>
      </c>
      <c r="D349" s="93">
        <v>65</v>
      </c>
      <c r="E349" s="93">
        <v>70</v>
      </c>
      <c r="F349" s="93">
        <v>58</v>
      </c>
      <c r="G349" s="93">
        <v>79</v>
      </c>
      <c r="H349" s="97">
        <v>72</v>
      </c>
      <c r="I349" s="166"/>
      <c r="J349" s="167"/>
      <c r="K349" s="167"/>
      <c r="L349" s="167"/>
      <c r="M349" s="167"/>
      <c r="N349" s="168"/>
    </row>
    <row r="350" spans="2:14" ht="15.75" thickBot="1" x14ac:dyDescent="0.3"/>
    <row r="351" spans="2:14" ht="15.75" x14ac:dyDescent="0.25">
      <c r="B351" s="2" t="s">
        <v>0</v>
      </c>
      <c r="C351" s="175" t="s">
        <v>202</v>
      </c>
      <c r="D351" s="176"/>
      <c r="E351" s="177" t="s">
        <v>1</v>
      </c>
      <c r="F351" s="178"/>
      <c r="G351" s="11">
        <v>140</v>
      </c>
      <c r="H351" s="179" t="s">
        <v>2</v>
      </c>
      <c r="I351" s="180"/>
      <c r="J351" s="181"/>
      <c r="K351" s="13">
        <v>140</v>
      </c>
      <c r="L351" s="3"/>
      <c r="M351" s="80" t="s">
        <v>11</v>
      </c>
      <c r="N351" s="98">
        <v>45220</v>
      </c>
    </row>
    <row r="352" spans="2:14" ht="15.75" x14ac:dyDescent="0.25">
      <c r="B352" s="4" t="s">
        <v>3</v>
      </c>
      <c r="C352" s="10">
        <v>20844</v>
      </c>
      <c r="D352" s="169" t="s">
        <v>57</v>
      </c>
      <c r="E352" s="170"/>
      <c r="F352" s="171"/>
      <c r="G352" s="18">
        <v>5560</v>
      </c>
      <c r="H352" s="172" t="s">
        <v>4</v>
      </c>
      <c r="I352" s="173"/>
      <c r="J352" s="174"/>
      <c r="K352" s="10">
        <v>63</v>
      </c>
      <c r="L352" s="15"/>
      <c r="M352" s="15"/>
      <c r="N352" s="16"/>
    </row>
    <row r="353" spans="2:14" ht="15.75" x14ac:dyDescent="0.25">
      <c r="B353" s="4" t="s">
        <v>5</v>
      </c>
      <c r="C353" s="19">
        <v>72</v>
      </c>
      <c r="D353" s="169" t="s">
        <v>8</v>
      </c>
      <c r="E353" s="170"/>
      <c r="F353" s="171"/>
      <c r="G353" s="17">
        <v>0.28000000000000003</v>
      </c>
      <c r="H353" s="172" t="s">
        <v>9</v>
      </c>
      <c r="I353" s="173"/>
      <c r="J353" s="174"/>
      <c r="K353" s="12">
        <v>0.85</v>
      </c>
      <c r="L353" s="172" t="s">
        <v>6</v>
      </c>
      <c r="M353" s="174"/>
      <c r="N353" s="20">
        <v>2.94</v>
      </c>
    </row>
    <row r="354" spans="2:14" ht="16.5" thickBot="1" x14ac:dyDescent="0.3">
      <c r="B354" s="5"/>
      <c r="C354" s="9"/>
      <c r="D354" s="9"/>
      <c r="E354" s="9"/>
      <c r="F354" s="9"/>
      <c r="G354" s="9"/>
      <c r="H354" s="79"/>
      <c r="I354" s="21"/>
      <c r="J354" s="21"/>
      <c r="K354" s="21"/>
      <c r="L354" s="21"/>
      <c r="M354" s="21"/>
      <c r="N354" s="6"/>
    </row>
    <row r="355" spans="2:14" ht="15.75" x14ac:dyDescent="0.25">
      <c r="B355" s="7" t="s">
        <v>7</v>
      </c>
      <c r="C355" s="1">
        <v>1</v>
      </c>
      <c r="D355" s="1">
        <v>2</v>
      </c>
      <c r="E355" s="1">
        <v>3</v>
      </c>
      <c r="F355" s="1">
        <v>4</v>
      </c>
      <c r="G355" s="1">
        <v>5</v>
      </c>
      <c r="H355" s="77">
        <v>6</v>
      </c>
      <c r="I355" s="160" t="s">
        <v>217</v>
      </c>
      <c r="J355" s="161"/>
      <c r="K355" s="161"/>
      <c r="L355" s="161"/>
      <c r="M355" s="161"/>
      <c r="N355" s="162"/>
    </row>
    <row r="356" spans="2:14" ht="15.75" x14ac:dyDescent="0.25">
      <c r="B356" s="87" t="s">
        <v>10</v>
      </c>
      <c r="C356" s="19">
        <v>46</v>
      </c>
      <c r="D356" s="19">
        <v>45</v>
      </c>
      <c r="E356" s="19">
        <v>44</v>
      </c>
      <c r="F356" s="19">
        <v>45</v>
      </c>
      <c r="G356" s="19">
        <v>43</v>
      </c>
      <c r="H356" s="95">
        <v>45</v>
      </c>
      <c r="I356" s="163"/>
      <c r="J356" s="164"/>
      <c r="K356" s="164"/>
      <c r="L356" s="164"/>
      <c r="M356" s="164"/>
      <c r="N356" s="165"/>
    </row>
    <row r="357" spans="2:14" ht="16.5" thickBot="1" x14ac:dyDescent="0.3">
      <c r="B357" s="94" t="s">
        <v>12</v>
      </c>
      <c r="C357" s="93">
        <v>59</v>
      </c>
      <c r="D357" s="93">
        <v>68</v>
      </c>
      <c r="E357" s="93">
        <v>77</v>
      </c>
      <c r="F357" s="93">
        <v>58</v>
      </c>
      <c r="G357" s="93">
        <v>73</v>
      </c>
      <c r="H357" s="97">
        <v>66</v>
      </c>
      <c r="I357" s="166"/>
      <c r="J357" s="167"/>
      <c r="K357" s="167"/>
      <c r="L357" s="167"/>
      <c r="M357" s="167"/>
      <c r="N357" s="168"/>
    </row>
    <row r="358" spans="2:14" ht="15.75" thickBot="1" x14ac:dyDescent="0.3"/>
    <row r="359" spans="2:14" ht="15.75" x14ac:dyDescent="0.25">
      <c r="B359" s="2" t="s">
        <v>0</v>
      </c>
      <c r="C359" s="175" t="s">
        <v>202</v>
      </c>
      <c r="D359" s="176"/>
      <c r="E359" s="177" t="s">
        <v>1</v>
      </c>
      <c r="F359" s="178"/>
      <c r="G359" s="11">
        <v>140</v>
      </c>
      <c r="H359" s="179" t="s">
        <v>2</v>
      </c>
      <c r="I359" s="180"/>
      <c r="J359" s="181"/>
      <c r="K359" s="13">
        <v>140</v>
      </c>
      <c r="L359" s="3"/>
      <c r="M359" s="80" t="s">
        <v>11</v>
      </c>
      <c r="N359" s="98">
        <v>45227</v>
      </c>
    </row>
    <row r="360" spans="2:14" ht="15.75" x14ac:dyDescent="0.25">
      <c r="B360" s="4" t="s">
        <v>3</v>
      </c>
      <c r="C360" s="10">
        <v>21016</v>
      </c>
      <c r="D360" s="169" t="s">
        <v>57</v>
      </c>
      <c r="E360" s="170"/>
      <c r="F360" s="171"/>
      <c r="G360" s="18">
        <v>5560</v>
      </c>
      <c r="H360" s="172" t="s">
        <v>4</v>
      </c>
      <c r="I360" s="173"/>
      <c r="J360" s="174"/>
      <c r="K360" s="10">
        <v>63</v>
      </c>
      <c r="L360" s="15"/>
      <c r="M360" s="15"/>
      <c r="N360" s="16"/>
    </row>
    <row r="361" spans="2:14" ht="15.75" x14ac:dyDescent="0.25">
      <c r="B361" s="4" t="s">
        <v>5</v>
      </c>
      <c r="C361" s="19">
        <v>75</v>
      </c>
      <c r="D361" s="169" t="s">
        <v>8</v>
      </c>
      <c r="E361" s="170"/>
      <c r="F361" s="171"/>
      <c r="G361" s="17">
        <v>0.28000000000000003</v>
      </c>
      <c r="H361" s="172" t="s">
        <v>9</v>
      </c>
      <c r="I361" s="173"/>
      <c r="J361" s="174"/>
      <c r="K361" s="12">
        <v>0.85</v>
      </c>
      <c r="L361" s="172" t="s">
        <v>6</v>
      </c>
      <c r="M361" s="174"/>
      <c r="N361" s="20">
        <v>2.94</v>
      </c>
    </row>
    <row r="362" spans="2:14" ht="16.5" thickBot="1" x14ac:dyDescent="0.3">
      <c r="B362" s="5"/>
      <c r="C362" s="9"/>
      <c r="D362" s="9"/>
      <c r="E362" s="9"/>
      <c r="F362" s="9"/>
      <c r="G362" s="9"/>
      <c r="H362" s="79"/>
      <c r="I362" s="21"/>
      <c r="J362" s="21"/>
      <c r="K362" s="21"/>
      <c r="L362" s="21"/>
      <c r="M362" s="21"/>
      <c r="N362" s="6"/>
    </row>
    <row r="363" spans="2:14" ht="15.75" x14ac:dyDescent="0.25">
      <c r="B363" s="7" t="s">
        <v>7</v>
      </c>
      <c r="C363" s="1">
        <v>1</v>
      </c>
      <c r="D363" s="1">
        <v>2</v>
      </c>
      <c r="E363" s="1">
        <v>3</v>
      </c>
      <c r="F363" s="1">
        <v>4</v>
      </c>
      <c r="G363" s="1">
        <v>5</v>
      </c>
      <c r="H363" s="77">
        <v>6</v>
      </c>
      <c r="I363" s="160" t="s">
        <v>218</v>
      </c>
      <c r="J363" s="161"/>
      <c r="K363" s="161"/>
      <c r="L363" s="161"/>
      <c r="M363" s="161"/>
      <c r="N363" s="162"/>
    </row>
    <row r="364" spans="2:14" ht="15.75" x14ac:dyDescent="0.25">
      <c r="B364" s="87" t="s">
        <v>10</v>
      </c>
      <c r="C364" s="19">
        <v>42</v>
      </c>
      <c r="D364" s="19">
        <v>46</v>
      </c>
      <c r="E364" s="19">
        <v>44</v>
      </c>
      <c r="F364" s="19">
        <v>48</v>
      </c>
      <c r="G364" s="19">
        <v>43</v>
      </c>
      <c r="H364" s="95">
        <v>47</v>
      </c>
      <c r="I364" s="163"/>
      <c r="J364" s="164"/>
      <c r="K364" s="164"/>
      <c r="L364" s="164"/>
      <c r="M364" s="164"/>
      <c r="N364" s="165"/>
    </row>
    <row r="365" spans="2:14" ht="16.5" thickBot="1" x14ac:dyDescent="0.3">
      <c r="B365" s="94" t="s">
        <v>12</v>
      </c>
      <c r="C365" s="93">
        <v>66</v>
      </c>
      <c r="D365" s="93">
        <v>68</v>
      </c>
      <c r="E365" s="93">
        <v>63</v>
      </c>
      <c r="F365" s="93">
        <v>73</v>
      </c>
      <c r="G365" s="93">
        <v>65</v>
      </c>
      <c r="H365" s="97">
        <v>66</v>
      </c>
      <c r="I365" s="166"/>
      <c r="J365" s="167"/>
      <c r="K365" s="167"/>
      <c r="L365" s="167"/>
      <c r="M365" s="167"/>
      <c r="N365" s="168"/>
    </row>
    <row r="366" spans="2:14" ht="15.75" thickBot="1" x14ac:dyDescent="0.3"/>
    <row r="367" spans="2:14" ht="15.75" x14ac:dyDescent="0.25">
      <c r="B367" s="2" t="s">
        <v>0</v>
      </c>
      <c r="C367" s="175" t="s">
        <v>202</v>
      </c>
      <c r="D367" s="176"/>
      <c r="E367" s="177" t="s">
        <v>1</v>
      </c>
      <c r="F367" s="178"/>
      <c r="G367" s="11">
        <v>140</v>
      </c>
      <c r="H367" s="179" t="s">
        <v>2</v>
      </c>
      <c r="I367" s="180"/>
      <c r="J367" s="181"/>
      <c r="K367" s="13">
        <v>140</v>
      </c>
      <c r="L367" s="3"/>
      <c r="M367" s="80" t="s">
        <v>11</v>
      </c>
      <c r="N367" s="98">
        <v>45234</v>
      </c>
    </row>
    <row r="368" spans="2:14" ht="15.75" x14ac:dyDescent="0.25">
      <c r="B368" s="4" t="s">
        <v>3</v>
      </c>
      <c r="C368" s="10">
        <v>21187</v>
      </c>
      <c r="D368" s="169" t="s">
        <v>57</v>
      </c>
      <c r="E368" s="170"/>
      <c r="F368" s="171"/>
      <c r="G368" s="18">
        <v>5560</v>
      </c>
      <c r="H368" s="172" t="s">
        <v>4</v>
      </c>
      <c r="I368" s="173"/>
      <c r="J368" s="174"/>
      <c r="K368" s="10">
        <v>63</v>
      </c>
      <c r="L368" s="15"/>
      <c r="M368" s="15"/>
      <c r="N368" s="16"/>
    </row>
    <row r="369" spans="2:14" ht="15.75" x14ac:dyDescent="0.25">
      <c r="B369" s="4" t="s">
        <v>5</v>
      </c>
      <c r="C369" s="19">
        <v>75</v>
      </c>
      <c r="D369" s="169" t="s">
        <v>8</v>
      </c>
      <c r="E369" s="170"/>
      <c r="F369" s="171"/>
      <c r="G369" s="17">
        <v>0.28000000000000003</v>
      </c>
      <c r="H369" s="172" t="s">
        <v>9</v>
      </c>
      <c r="I369" s="173"/>
      <c r="J369" s="174"/>
      <c r="K369" s="12">
        <v>0.85</v>
      </c>
      <c r="L369" s="172" t="s">
        <v>6</v>
      </c>
      <c r="M369" s="174"/>
      <c r="N369" s="20">
        <v>2.94</v>
      </c>
    </row>
    <row r="370" spans="2:14" ht="16.5" thickBot="1" x14ac:dyDescent="0.3">
      <c r="B370" s="5"/>
      <c r="C370" s="9"/>
      <c r="D370" s="9"/>
      <c r="E370" s="9"/>
      <c r="F370" s="9"/>
      <c r="G370" s="9"/>
      <c r="H370" s="79"/>
      <c r="I370" s="21"/>
      <c r="J370" s="21"/>
      <c r="K370" s="21"/>
      <c r="L370" s="21"/>
      <c r="M370" s="21"/>
      <c r="N370" s="6"/>
    </row>
    <row r="371" spans="2:14" ht="15.75" x14ac:dyDescent="0.25">
      <c r="B371" s="7" t="s">
        <v>7</v>
      </c>
      <c r="C371" s="1">
        <v>1</v>
      </c>
      <c r="D371" s="1">
        <v>2</v>
      </c>
      <c r="E371" s="1">
        <v>3</v>
      </c>
      <c r="F371" s="1">
        <v>4</v>
      </c>
      <c r="G371" s="1">
        <v>5</v>
      </c>
      <c r="H371" s="77">
        <v>6</v>
      </c>
      <c r="I371" s="160" t="s">
        <v>219</v>
      </c>
      <c r="J371" s="161"/>
      <c r="K371" s="161"/>
      <c r="L371" s="161"/>
      <c r="M371" s="161"/>
      <c r="N371" s="162"/>
    </row>
    <row r="372" spans="2:14" ht="15.75" x14ac:dyDescent="0.25">
      <c r="B372" s="87" t="s">
        <v>10</v>
      </c>
      <c r="C372" s="19">
        <v>42</v>
      </c>
      <c r="D372" s="19">
        <v>42</v>
      </c>
      <c r="E372" s="19">
        <v>48</v>
      </c>
      <c r="F372" s="19">
        <v>47</v>
      </c>
      <c r="G372" s="19">
        <v>44</v>
      </c>
      <c r="H372" s="95">
        <v>47</v>
      </c>
      <c r="I372" s="163"/>
      <c r="J372" s="164"/>
      <c r="K372" s="164"/>
      <c r="L372" s="164"/>
      <c r="M372" s="164"/>
      <c r="N372" s="165"/>
    </row>
    <row r="373" spans="2:14" ht="16.5" thickBot="1" x14ac:dyDescent="0.3">
      <c r="B373" s="94" t="s">
        <v>12</v>
      </c>
      <c r="C373" s="93">
        <v>69</v>
      </c>
      <c r="D373" s="93">
        <v>71</v>
      </c>
      <c r="E373" s="93">
        <v>64</v>
      </c>
      <c r="F373" s="93">
        <v>71</v>
      </c>
      <c r="G373" s="93">
        <v>62</v>
      </c>
      <c r="H373" s="97">
        <v>66</v>
      </c>
      <c r="I373" s="166"/>
      <c r="J373" s="167"/>
      <c r="K373" s="167"/>
      <c r="L373" s="167"/>
      <c r="M373" s="167"/>
      <c r="N373" s="168"/>
    </row>
    <row r="374" spans="2:14" ht="15.75" thickBot="1" x14ac:dyDescent="0.3"/>
    <row r="375" spans="2:14" ht="15.75" x14ac:dyDescent="0.25">
      <c r="B375" s="2" t="s">
        <v>0</v>
      </c>
      <c r="C375" s="175" t="s">
        <v>202</v>
      </c>
      <c r="D375" s="176"/>
      <c r="E375" s="177" t="s">
        <v>1</v>
      </c>
      <c r="F375" s="178"/>
      <c r="G375" s="11">
        <v>140</v>
      </c>
      <c r="H375" s="179" t="s">
        <v>2</v>
      </c>
      <c r="I375" s="180"/>
      <c r="J375" s="181"/>
      <c r="K375" s="13">
        <v>140</v>
      </c>
      <c r="L375" s="3"/>
      <c r="M375" s="80" t="s">
        <v>11</v>
      </c>
      <c r="N375" s="98">
        <v>45241</v>
      </c>
    </row>
    <row r="376" spans="2:14" ht="15.75" x14ac:dyDescent="0.25">
      <c r="B376" s="4" t="s">
        <v>3</v>
      </c>
      <c r="C376" s="10">
        <v>21231</v>
      </c>
      <c r="D376" s="169" t="s">
        <v>57</v>
      </c>
      <c r="E376" s="170"/>
      <c r="F376" s="171"/>
      <c r="G376" s="18"/>
      <c r="H376" s="172" t="s">
        <v>4</v>
      </c>
      <c r="I376" s="173"/>
      <c r="J376" s="174"/>
      <c r="K376" s="10"/>
      <c r="L376" s="15"/>
      <c r="M376" s="15"/>
      <c r="N376" s="16"/>
    </row>
    <row r="377" spans="2:14" ht="15.75" x14ac:dyDescent="0.25">
      <c r="B377" s="4" t="s">
        <v>5</v>
      </c>
      <c r="C377" s="19"/>
      <c r="D377" s="169" t="s">
        <v>8</v>
      </c>
      <c r="E377" s="170"/>
      <c r="F377" s="171"/>
      <c r="G377" s="17">
        <v>0.28000000000000003</v>
      </c>
      <c r="H377" s="172" t="s">
        <v>9</v>
      </c>
      <c r="I377" s="173"/>
      <c r="J377" s="174"/>
      <c r="K377" s="12">
        <v>0.85</v>
      </c>
      <c r="L377" s="172" t="s">
        <v>6</v>
      </c>
      <c r="M377" s="174"/>
      <c r="N377" s="20">
        <v>2.94</v>
      </c>
    </row>
    <row r="378" spans="2:14" ht="16.5" thickBot="1" x14ac:dyDescent="0.3">
      <c r="B378" s="5"/>
      <c r="C378" s="9"/>
      <c r="D378" s="9"/>
      <c r="E378" s="9"/>
      <c r="F378" s="9"/>
      <c r="G378" s="9"/>
      <c r="H378" s="79"/>
      <c r="I378" s="21"/>
      <c r="J378" s="21"/>
      <c r="K378" s="21"/>
      <c r="L378" s="21"/>
      <c r="M378" s="21"/>
      <c r="N378" s="6"/>
    </row>
    <row r="379" spans="2:14" ht="15.75" x14ac:dyDescent="0.25">
      <c r="B379" s="7" t="s">
        <v>7</v>
      </c>
      <c r="C379" s="1">
        <v>1</v>
      </c>
      <c r="D379" s="1">
        <v>2</v>
      </c>
      <c r="E379" s="1">
        <v>3</v>
      </c>
      <c r="F379" s="1">
        <v>4</v>
      </c>
      <c r="G379" s="1">
        <v>5</v>
      </c>
      <c r="H379" s="77">
        <v>6</v>
      </c>
      <c r="I379" s="160" t="s">
        <v>220</v>
      </c>
      <c r="J379" s="161"/>
      <c r="K379" s="161"/>
      <c r="L379" s="161"/>
      <c r="M379" s="161"/>
      <c r="N379" s="162"/>
    </row>
    <row r="380" spans="2:14" ht="15.75" x14ac:dyDescent="0.25">
      <c r="B380" s="87" t="s">
        <v>10</v>
      </c>
      <c r="C380" s="19"/>
      <c r="D380" s="19"/>
      <c r="E380" s="19"/>
      <c r="F380" s="19"/>
      <c r="G380" s="19"/>
      <c r="H380" s="95"/>
      <c r="I380" s="163"/>
      <c r="J380" s="164"/>
      <c r="K380" s="164"/>
      <c r="L380" s="164"/>
      <c r="M380" s="164"/>
      <c r="N380" s="165"/>
    </row>
    <row r="381" spans="2:14" ht="16.5" thickBot="1" x14ac:dyDescent="0.3">
      <c r="B381" s="94" t="s">
        <v>12</v>
      </c>
      <c r="C381" s="93"/>
      <c r="D381" s="93"/>
      <c r="E381" s="93"/>
      <c r="F381" s="93"/>
      <c r="G381" s="93"/>
      <c r="H381" s="97"/>
      <c r="I381" s="166"/>
      <c r="J381" s="167"/>
      <c r="K381" s="167"/>
      <c r="L381" s="167"/>
      <c r="M381" s="167"/>
      <c r="N381" s="168"/>
    </row>
    <row r="382" spans="2:14" ht="15.75" thickBot="1" x14ac:dyDescent="0.3"/>
    <row r="383" spans="2:14" ht="15.75" x14ac:dyDescent="0.25">
      <c r="B383" s="2" t="s">
        <v>0</v>
      </c>
      <c r="C383" s="175" t="s">
        <v>202</v>
      </c>
      <c r="D383" s="176"/>
      <c r="E383" s="177" t="s">
        <v>1</v>
      </c>
      <c r="F383" s="178"/>
      <c r="G383" s="11">
        <v>140</v>
      </c>
      <c r="H383" s="179" t="s">
        <v>2</v>
      </c>
      <c r="I383" s="180"/>
      <c r="J383" s="181"/>
      <c r="K383" s="13">
        <v>140</v>
      </c>
      <c r="L383" s="3"/>
      <c r="M383" s="80" t="s">
        <v>11</v>
      </c>
      <c r="N383" s="98">
        <v>45248</v>
      </c>
    </row>
    <row r="384" spans="2:14" ht="15.75" x14ac:dyDescent="0.25">
      <c r="B384" s="4" t="s">
        <v>3</v>
      </c>
      <c r="C384" s="10">
        <v>21364</v>
      </c>
      <c r="D384" s="169" t="s">
        <v>57</v>
      </c>
      <c r="E384" s="170"/>
      <c r="F384" s="171"/>
      <c r="G384" s="18">
        <v>8600</v>
      </c>
      <c r="H384" s="172" t="s">
        <v>4</v>
      </c>
      <c r="I384" s="173"/>
      <c r="J384" s="174"/>
      <c r="K384" s="10">
        <v>60</v>
      </c>
      <c r="L384" s="15"/>
      <c r="M384" s="15"/>
      <c r="N384" s="16"/>
    </row>
    <row r="385" spans="2:14" ht="15.75" x14ac:dyDescent="0.25">
      <c r="B385" s="4" t="s">
        <v>5</v>
      </c>
      <c r="C385" s="19">
        <v>69</v>
      </c>
      <c r="D385" s="169" t="s">
        <v>8</v>
      </c>
      <c r="E385" s="170"/>
      <c r="F385" s="171"/>
      <c r="G385" s="17">
        <v>0.28000000000000003</v>
      </c>
      <c r="H385" s="172" t="s">
        <v>9</v>
      </c>
      <c r="I385" s="173"/>
      <c r="J385" s="174"/>
      <c r="K385" s="12">
        <v>0.85</v>
      </c>
      <c r="L385" s="172" t="s">
        <v>6</v>
      </c>
      <c r="M385" s="174"/>
      <c r="N385" s="20">
        <v>2.94</v>
      </c>
    </row>
    <row r="386" spans="2:14" ht="16.5" thickBot="1" x14ac:dyDescent="0.3">
      <c r="B386" s="5"/>
      <c r="C386" s="9"/>
      <c r="D386" s="9"/>
      <c r="E386" s="9"/>
      <c r="F386" s="9"/>
      <c r="G386" s="9"/>
      <c r="H386" s="79"/>
      <c r="I386" s="21"/>
      <c r="J386" s="21"/>
      <c r="K386" s="21"/>
      <c r="L386" s="21"/>
      <c r="M386" s="21"/>
      <c r="N386" s="6"/>
    </row>
    <row r="387" spans="2:14" ht="15.75" x14ac:dyDescent="0.25">
      <c r="B387" s="7" t="s">
        <v>7</v>
      </c>
      <c r="C387" s="1">
        <v>1</v>
      </c>
      <c r="D387" s="1">
        <v>2</v>
      </c>
      <c r="E387" s="1">
        <v>3</v>
      </c>
      <c r="F387" s="1">
        <v>4</v>
      </c>
      <c r="G387" s="1">
        <v>5</v>
      </c>
      <c r="H387" s="77">
        <v>6</v>
      </c>
      <c r="I387" s="160" t="s">
        <v>221</v>
      </c>
      <c r="J387" s="161"/>
      <c r="K387" s="161"/>
      <c r="L387" s="161"/>
      <c r="M387" s="161"/>
      <c r="N387" s="162"/>
    </row>
    <row r="388" spans="2:14" ht="15.75" x14ac:dyDescent="0.25">
      <c r="B388" s="87" t="s">
        <v>10</v>
      </c>
      <c r="C388" s="19">
        <v>42</v>
      </c>
      <c r="D388" s="19">
        <v>44</v>
      </c>
      <c r="E388" s="19">
        <v>44</v>
      </c>
      <c r="F388" s="19">
        <v>41</v>
      </c>
      <c r="G388" s="19">
        <v>42</v>
      </c>
      <c r="H388" s="95">
        <v>43</v>
      </c>
      <c r="I388" s="163"/>
      <c r="J388" s="164"/>
      <c r="K388" s="164"/>
      <c r="L388" s="164"/>
      <c r="M388" s="164"/>
      <c r="N388" s="165"/>
    </row>
    <row r="389" spans="2:14" ht="16.5" thickBot="1" x14ac:dyDescent="0.3">
      <c r="B389" s="94" t="s">
        <v>12</v>
      </c>
      <c r="C389" s="93">
        <v>64</v>
      </c>
      <c r="D389" s="93">
        <v>51</v>
      </c>
      <c r="E389" s="93">
        <v>59</v>
      </c>
      <c r="F389" s="93">
        <v>53</v>
      </c>
      <c r="G389" s="93">
        <v>60</v>
      </c>
      <c r="H389" s="97">
        <v>51</v>
      </c>
      <c r="I389" s="166"/>
      <c r="J389" s="167"/>
      <c r="K389" s="167"/>
      <c r="L389" s="167"/>
      <c r="M389" s="167"/>
      <c r="N389" s="168"/>
    </row>
    <row r="390" spans="2:14" ht="15.75" thickBot="1" x14ac:dyDescent="0.3"/>
    <row r="391" spans="2:14" ht="15.75" x14ac:dyDescent="0.25">
      <c r="B391" s="2" t="s">
        <v>0</v>
      </c>
      <c r="C391" s="175" t="s">
        <v>202</v>
      </c>
      <c r="D391" s="176"/>
      <c r="E391" s="177" t="s">
        <v>1</v>
      </c>
      <c r="F391" s="178"/>
      <c r="G391" s="11">
        <v>140</v>
      </c>
      <c r="H391" s="179" t="s">
        <v>2</v>
      </c>
      <c r="I391" s="180"/>
      <c r="J391" s="181"/>
      <c r="K391" s="13">
        <v>140</v>
      </c>
      <c r="L391" s="3"/>
      <c r="M391" s="80" t="s">
        <v>11</v>
      </c>
      <c r="N391" s="98">
        <v>45255</v>
      </c>
    </row>
    <row r="392" spans="2:14" ht="15.75" x14ac:dyDescent="0.25">
      <c r="B392" s="4" t="s">
        <v>3</v>
      </c>
      <c r="C392" s="10">
        <v>21530</v>
      </c>
      <c r="D392" s="169" t="s">
        <v>57</v>
      </c>
      <c r="E392" s="170"/>
      <c r="F392" s="171"/>
      <c r="G392" s="18">
        <v>8530</v>
      </c>
      <c r="H392" s="172" t="s">
        <v>4</v>
      </c>
      <c r="I392" s="173"/>
      <c r="J392" s="174"/>
      <c r="K392" s="10">
        <v>60</v>
      </c>
      <c r="L392" s="15"/>
      <c r="M392" s="15"/>
      <c r="N392" s="16"/>
    </row>
    <row r="393" spans="2:14" ht="15.75" x14ac:dyDescent="0.25">
      <c r="B393" s="4" t="s">
        <v>5</v>
      </c>
      <c r="C393" s="19">
        <v>70</v>
      </c>
      <c r="D393" s="169" t="s">
        <v>8</v>
      </c>
      <c r="E393" s="170"/>
      <c r="F393" s="171"/>
      <c r="G393" s="17">
        <v>0.28000000000000003</v>
      </c>
      <c r="H393" s="172" t="s">
        <v>9</v>
      </c>
      <c r="I393" s="173"/>
      <c r="J393" s="174"/>
      <c r="K393" s="12">
        <v>0.85</v>
      </c>
      <c r="L393" s="172" t="s">
        <v>6</v>
      </c>
      <c r="M393" s="174"/>
      <c r="N393" s="20">
        <v>2.94</v>
      </c>
    </row>
    <row r="394" spans="2:14" ht="16.5" thickBot="1" x14ac:dyDescent="0.3">
      <c r="B394" s="5"/>
      <c r="C394" s="9"/>
      <c r="D394" s="9"/>
      <c r="E394" s="9"/>
      <c r="F394" s="9"/>
      <c r="G394" s="9"/>
      <c r="H394" s="79"/>
      <c r="I394" s="21"/>
      <c r="J394" s="21"/>
      <c r="K394" s="21"/>
      <c r="L394" s="21"/>
      <c r="M394" s="21"/>
      <c r="N394" s="6"/>
    </row>
    <row r="395" spans="2:14" ht="15.75" x14ac:dyDescent="0.25">
      <c r="B395" s="7" t="s">
        <v>7</v>
      </c>
      <c r="C395" s="1">
        <v>1</v>
      </c>
      <c r="D395" s="1">
        <v>2</v>
      </c>
      <c r="E395" s="1">
        <v>3</v>
      </c>
      <c r="F395" s="1">
        <v>4</v>
      </c>
      <c r="G395" s="1">
        <v>5</v>
      </c>
      <c r="H395" s="77">
        <v>6</v>
      </c>
      <c r="I395" s="160" t="s">
        <v>222</v>
      </c>
      <c r="J395" s="161"/>
      <c r="K395" s="161"/>
      <c r="L395" s="161"/>
      <c r="M395" s="161"/>
      <c r="N395" s="162"/>
    </row>
    <row r="396" spans="2:14" ht="15.75" x14ac:dyDescent="0.25">
      <c r="B396" s="87" t="s">
        <v>10</v>
      </c>
      <c r="C396" s="19">
        <v>43</v>
      </c>
      <c r="D396" s="19">
        <v>44</v>
      </c>
      <c r="E396" s="19">
        <v>44</v>
      </c>
      <c r="F396" s="19">
        <v>42</v>
      </c>
      <c r="G396" s="19">
        <v>44</v>
      </c>
      <c r="H396" s="95">
        <v>43</v>
      </c>
      <c r="I396" s="163"/>
      <c r="J396" s="164"/>
      <c r="K396" s="164"/>
      <c r="L396" s="164"/>
      <c r="M396" s="164"/>
      <c r="N396" s="165"/>
    </row>
    <row r="397" spans="2:14" ht="16.5" thickBot="1" x14ac:dyDescent="0.3">
      <c r="B397" s="94" t="s">
        <v>12</v>
      </c>
      <c r="C397" s="93">
        <v>65</v>
      </c>
      <c r="D397" s="93">
        <v>55</v>
      </c>
      <c r="E397" s="93">
        <v>61</v>
      </c>
      <c r="F397" s="93">
        <v>56</v>
      </c>
      <c r="G397" s="93">
        <v>60</v>
      </c>
      <c r="H397" s="97">
        <v>54</v>
      </c>
      <c r="I397" s="166"/>
      <c r="J397" s="167"/>
      <c r="K397" s="167"/>
      <c r="L397" s="167"/>
      <c r="M397" s="167"/>
      <c r="N397" s="168"/>
    </row>
    <row r="398" spans="2:14" ht="15.75" thickBot="1" x14ac:dyDescent="0.3"/>
    <row r="399" spans="2:14" ht="15.75" x14ac:dyDescent="0.25">
      <c r="B399" s="2" t="s">
        <v>0</v>
      </c>
      <c r="C399" s="175" t="s">
        <v>202</v>
      </c>
      <c r="D399" s="176"/>
      <c r="E399" s="177" t="s">
        <v>1</v>
      </c>
      <c r="F399" s="178"/>
      <c r="G399" s="11">
        <v>140</v>
      </c>
      <c r="H399" s="179" t="s">
        <v>2</v>
      </c>
      <c r="I399" s="180"/>
      <c r="J399" s="181"/>
      <c r="K399" s="13">
        <v>140</v>
      </c>
      <c r="L399" s="3"/>
      <c r="M399" s="80" t="s">
        <v>11</v>
      </c>
      <c r="N399" s="98">
        <v>45262</v>
      </c>
    </row>
    <row r="400" spans="2:14" ht="15.75" x14ac:dyDescent="0.25">
      <c r="B400" s="4" t="s">
        <v>3</v>
      </c>
      <c r="C400" s="10">
        <v>21696</v>
      </c>
      <c r="D400" s="169" t="s">
        <v>57</v>
      </c>
      <c r="E400" s="170"/>
      <c r="F400" s="171"/>
      <c r="G400" s="18">
        <v>8430</v>
      </c>
      <c r="H400" s="172" t="s">
        <v>4</v>
      </c>
      <c r="I400" s="173"/>
      <c r="J400" s="174"/>
      <c r="K400" s="10">
        <v>61</v>
      </c>
      <c r="L400" s="15"/>
      <c r="M400" s="15"/>
      <c r="N400" s="16"/>
    </row>
    <row r="401" spans="2:14" ht="15.75" x14ac:dyDescent="0.25">
      <c r="B401" s="4" t="s">
        <v>5</v>
      </c>
      <c r="C401" s="19">
        <v>72</v>
      </c>
      <c r="D401" s="169" t="s">
        <v>8</v>
      </c>
      <c r="E401" s="170"/>
      <c r="F401" s="171"/>
      <c r="G401" s="17">
        <v>0.28000000000000003</v>
      </c>
      <c r="H401" s="172" t="s">
        <v>9</v>
      </c>
      <c r="I401" s="173"/>
      <c r="J401" s="174"/>
      <c r="K401" s="12">
        <v>0.85</v>
      </c>
      <c r="L401" s="172" t="s">
        <v>6</v>
      </c>
      <c r="M401" s="174"/>
      <c r="N401" s="20">
        <v>2.94</v>
      </c>
    </row>
    <row r="402" spans="2:14" ht="16.5" thickBot="1" x14ac:dyDescent="0.3">
      <c r="B402" s="5"/>
      <c r="C402" s="9"/>
      <c r="D402" s="9"/>
      <c r="E402" s="9"/>
      <c r="F402" s="9"/>
      <c r="G402" s="9"/>
      <c r="H402" s="79"/>
      <c r="I402" s="21"/>
      <c r="J402" s="21"/>
      <c r="K402" s="21"/>
      <c r="L402" s="21"/>
      <c r="M402" s="21"/>
      <c r="N402" s="6"/>
    </row>
    <row r="403" spans="2:14" ht="15.75" x14ac:dyDescent="0.25">
      <c r="B403" s="7" t="s">
        <v>7</v>
      </c>
      <c r="C403" s="1">
        <v>1</v>
      </c>
      <c r="D403" s="1">
        <v>2</v>
      </c>
      <c r="E403" s="1">
        <v>3</v>
      </c>
      <c r="F403" s="1">
        <v>4</v>
      </c>
      <c r="G403" s="1">
        <v>5</v>
      </c>
      <c r="H403" s="77">
        <v>6</v>
      </c>
      <c r="I403" s="160" t="s">
        <v>223</v>
      </c>
      <c r="J403" s="161"/>
      <c r="K403" s="161"/>
      <c r="L403" s="161"/>
      <c r="M403" s="161"/>
      <c r="N403" s="162"/>
    </row>
    <row r="404" spans="2:14" ht="15.75" x14ac:dyDescent="0.25">
      <c r="B404" s="87" t="s">
        <v>10</v>
      </c>
      <c r="C404" s="19">
        <v>44</v>
      </c>
      <c r="D404" s="19">
        <v>43</v>
      </c>
      <c r="E404" s="19">
        <v>44</v>
      </c>
      <c r="F404" s="19">
        <v>43</v>
      </c>
      <c r="G404" s="19">
        <v>44</v>
      </c>
      <c r="H404" s="95">
        <v>43</v>
      </c>
      <c r="I404" s="163"/>
      <c r="J404" s="164"/>
      <c r="K404" s="164"/>
      <c r="L404" s="164"/>
      <c r="M404" s="164"/>
      <c r="N404" s="165"/>
    </row>
    <row r="405" spans="2:14" ht="16.5" thickBot="1" x14ac:dyDescent="0.3">
      <c r="B405" s="94" t="s">
        <v>12</v>
      </c>
      <c r="C405" s="93">
        <v>66</v>
      </c>
      <c r="D405" s="93">
        <v>57</v>
      </c>
      <c r="E405" s="93">
        <v>63</v>
      </c>
      <c r="F405" s="93">
        <v>56</v>
      </c>
      <c r="G405" s="93">
        <v>62</v>
      </c>
      <c r="H405" s="97">
        <v>55</v>
      </c>
      <c r="I405" s="166"/>
      <c r="J405" s="167"/>
      <c r="K405" s="167"/>
      <c r="L405" s="167"/>
      <c r="M405" s="167"/>
      <c r="N405" s="168"/>
    </row>
    <row r="406" spans="2:14" ht="15.75" thickBot="1" x14ac:dyDescent="0.3"/>
    <row r="407" spans="2:14" ht="15.75" x14ac:dyDescent="0.25">
      <c r="B407" s="2" t="s">
        <v>0</v>
      </c>
      <c r="C407" s="175" t="s">
        <v>202</v>
      </c>
      <c r="D407" s="176"/>
      <c r="E407" s="177" t="s">
        <v>1</v>
      </c>
      <c r="F407" s="178"/>
      <c r="G407" s="11">
        <v>140</v>
      </c>
      <c r="H407" s="179" t="s">
        <v>2</v>
      </c>
      <c r="I407" s="180"/>
      <c r="J407" s="181"/>
      <c r="K407" s="13">
        <v>140</v>
      </c>
      <c r="L407" s="3"/>
      <c r="M407" s="80" t="s">
        <v>11</v>
      </c>
      <c r="N407" s="98">
        <v>45269</v>
      </c>
    </row>
    <row r="408" spans="2:14" ht="15.75" x14ac:dyDescent="0.25">
      <c r="B408" s="4" t="s">
        <v>3</v>
      </c>
      <c r="C408" s="10">
        <v>21861</v>
      </c>
      <c r="D408" s="169" t="s">
        <v>57</v>
      </c>
      <c r="E408" s="170"/>
      <c r="F408" s="171"/>
      <c r="G408" s="18">
        <v>8460</v>
      </c>
      <c r="H408" s="172" t="s">
        <v>4</v>
      </c>
      <c r="I408" s="173"/>
      <c r="J408" s="174"/>
      <c r="K408" s="10">
        <v>61</v>
      </c>
      <c r="L408" s="15"/>
      <c r="M408" s="15"/>
      <c r="N408" s="16"/>
    </row>
    <row r="409" spans="2:14" ht="15.75" x14ac:dyDescent="0.25">
      <c r="B409" s="4" t="s">
        <v>5</v>
      </c>
      <c r="C409" s="19">
        <v>72</v>
      </c>
      <c r="D409" s="169" t="s">
        <v>8</v>
      </c>
      <c r="E409" s="170"/>
      <c r="F409" s="171"/>
      <c r="G409" s="17">
        <v>0.28000000000000003</v>
      </c>
      <c r="H409" s="172" t="s">
        <v>9</v>
      </c>
      <c r="I409" s="173"/>
      <c r="J409" s="174"/>
      <c r="K409" s="12">
        <v>0.85</v>
      </c>
      <c r="L409" s="172" t="s">
        <v>6</v>
      </c>
      <c r="M409" s="174"/>
      <c r="N409" s="20">
        <v>2</v>
      </c>
    </row>
    <row r="410" spans="2:14" ht="16.5" thickBot="1" x14ac:dyDescent="0.3">
      <c r="B410" s="5"/>
      <c r="C410" s="9"/>
      <c r="D410" s="9"/>
      <c r="E410" s="9"/>
      <c r="F410" s="9"/>
      <c r="G410" s="9"/>
      <c r="H410" s="79"/>
      <c r="I410" s="21"/>
      <c r="J410" s="21"/>
      <c r="K410" s="21"/>
      <c r="L410" s="21"/>
      <c r="M410" s="21"/>
      <c r="N410" s="6"/>
    </row>
    <row r="411" spans="2:14" ht="15.75" x14ac:dyDescent="0.25">
      <c r="B411" s="7" t="s">
        <v>7</v>
      </c>
      <c r="C411" s="1">
        <v>1</v>
      </c>
      <c r="D411" s="1">
        <v>2</v>
      </c>
      <c r="E411" s="1">
        <v>3</v>
      </c>
      <c r="F411" s="1">
        <v>4</v>
      </c>
      <c r="G411" s="1">
        <v>5</v>
      </c>
      <c r="H411" s="77">
        <v>6</v>
      </c>
      <c r="I411" s="160" t="s">
        <v>224</v>
      </c>
      <c r="J411" s="161"/>
      <c r="K411" s="161"/>
      <c r="L411" s="161"/>
      <c r="M411" s="161"/>
      <c r="N411" s="162"/>
    </row>
    <row r="412" spans="2:14" ht="15.75" x14ac:dyDescent="0.25">
      <c r="B412" s="87" t="s">
        <v>10</v>
      </c>
      <c r="C412" s="19">
        <v>42</v>
      </c>
      <c r="D412" s="19">
        <v>44</v>
      </c>
      <c r="E412" s="19">
        <v>43</v>
      </c>
      <c r="F412" s="19">
        <v>43</v>
      </c>
      <c r="G412" s="19">
        <v>44</v>
      </c>
      <c r="H412" s="95">
        <v>43</v>
      </c>
      <c r="I412" s="163"/>
      <c r="J412" s="164"/>
      <c r="K412" s="164"/>
      <c r="L412" s="164"/>
      <c r="M412" s="164"/>
      <c r="N412" s="165"/>
    </row>
    <row r="413" spans="2:14" ht="16.5" thickBot="1" x14ac:dyDescent="0.3">
      <c r="B413" s="94" t="s">
        <v>12</v>
      </c>
      <c r="C413" s="93">
        <v>67</v>
      </c>
      <c r="D413" s="93">
        <v>59</v>
      </c>
      <c r="E413" s="93">
        <v>63</v>
      </c>
      <c r="F413" s="93">
        <v>58</v>
      </c>
      <c r="G413" s="93">
        <v>62</v>
      </c>
      <c r="H413" s="97">
        <v>57</v>
      </c>
      <c r="I413" s="166"/>
      <c r="J413" s="167"/>
      <c r="K413" s="167"/>
      <c r="L413" s="167"/>
      <c r="M413" s="167"/>
      <c r="N413" s="168"/>
    </row>
    <row r="414" spans="2:14" ht="15.75" thickBot="1" x14ac:dyDescent="0.3"/>
    <row r="415" spans="2:14" ht="15.75" x14ac:dyDescent="0.25">
      <c r="B415" s="2" t="s">
        <v>0</v>
      </c>
      <c r="C415" s="175" t="s">
        <v>202</v>
      </c>
      <c r="D415" s="176"/>
      <c r="E415" s="177" t="s">
        <v>1</v>
      </c>
      <c r="F415" s="178"/>
      <c r="G415" s="11">
        <v>140</v>
      </c>
      <c r="H415" s="179" t="s">
        <v>2</v>
      </c>
      <c r="I415" s="180"/>
      <c r="J415" s="181"/>
      <c r="K415" s="13">
        <v>140</v>
      </c>
      <c r="L415" s="3"/>
      <c r="M415" s="80" t="s">
        <v>11</v>
      </c>
      <c r="N415" s="98">
        <v>45276</v>
      </c>
    </row>
    <row r="416" spans="2:14" ht="15.75" x14ac:dyDescent="0.25">
      <c r="B416" s="4" t="s">
        <v>3</v>
      </c>
      <c r="C416" s="10">
        <v>22027</v>
      </c>
      <c r="D416" s="169" t="s">
        <v>57</v>
      </c>
      <c r="E416" s="170"/>
      <c r="F416" s="171"/>
      <c r="G416" s="18">
        <v>8550</v>
      </c>
      <c r="H416" s="172" t="s">
        <v>4</v>
      </c>
      <c r="I416" s="173"/>
      <c r="J416" s="174"/>
      <c r="K416" s="10">
        <v>61</v>
      </c>
      <c r="L416" s="15"/>
      <c r="M416" s="15"/>
      <c r="N416" s="16"/>
    </row>
    <row r="417" spans="2:14" ht="15.75" x14ac:dyDescent="0.25">
      <c r="B417" s="4" t="s">
        <v>5</v>
      </c>
      <c r="C417" s="19">
        <v>72</v>
      </c>
      <c r="D417" s="169" t="s">
        <v>8</v>
      </c>
      <c r="E417" s="170"/>
      <c r="F417" s="171"/>
      <c r="G417" s="17">
        <v>0.28000000000000003</v>
      </c>
      <c r="H417" s="172" t="s">
        <v>9</v>
      </c>
      <c r="I417" s="173"/>
      <c r="J417" s="174"/>
      <c r="K417" s="12">
        <v>0.85</v>
      </c>
      <c r="L417" s="172" t="s">
        <v>6</v>
      </c>
      <c r="M417" s="174"/>
      <c r="N417" s="20">
        <v>2</v>
      </c>
    </row>
    <row r="418" spans="2:14" ht="16.5" thickBot="1" x14ac:dyDescent="0.3">
      <c r="B418" s="5"/>
      <c r="C418" s="9"/>
      <c r="D418" s="9"/>
      <c r="E418" s="9"/>
      <c r="F418" s="9"/>
      <c r="G418" s="9"/>
      <c r="H418" s="79"/>
      <c r="I418" s="21"/>
      <c r="J418" s="21"/>
      <c r="K418" s="21"/>
      <c r="L418" s="21"/>
      <c r="M418" s="21"/>
      <c r="N418" s="6"/>
    </row>
    <row r="419" spans="2:14" ht="15.75" x14ac:dyDescent="0.25">
      <c r="B419" s="7" t="s">
        <v>7</v>
      </c>
      <c r="C419" s="1">
        <v>1</v>
      </c>
      <c r="D419" s="1">
        <v>2</v>
      </c>
      <c r="E419" s="1">
        <v>3</v>
      </c>
      <c r="F419" s="1">
        <v>4</v>
      </c>
      <c r="G419" s="1">
        <v>5</v>
      </c>
      <c r="H419" s="77">
        <v>6</v>
      </c>
      <c r="I419" s="160" t="s">
        <v>225</v>
      </c>
      <c r="J419" s="161"/>
      <c r="K419" s="161"/>
      <c r="L419" s="161"/>
      <c r="M419" s="161"/>
      <c r="N419" s="162"/>
    </row>
    <row r="420" spans="2:14" ht="15.75" x14ac:dyDescent="0.25">
      <c r="B420" s="87" t="s">
        <v>10</v>
      </c>
      <c r="C420" s="19">
        <v>44</v>
      </c>
      <c r="D420" s="19">
        <v>43</v>
      </c>
      <c r="E420" s="19">
        <v>44</v>
      </c>
      <c r="F420" s="19">
        <v>44</v>
      </c>
      <c r="G420" s="19">
        <v>44</v>
      </c>
      <c r="H420" s="95">
        <v>43</v>
      </c>
      <c r="I420" s="163"/>
      <c r="J420" s="164"/>
      <c r="K420" s="164"/>
      <c r="L420" s="164"/>
      <c r="M420" s="164"/>
      <c r="N420" s="165"/>
    </row>
    <row r="421" spans="2:14" ht="16.5" thickBot="1" x14ac:dyDescent="0.3">
      <c r="B421" s="94" t="s">
        <v>12</v>
      </c>
      <c r="C421" s="93">
        <v>68</v>
      </c>
      <c r="D421" s="93">
        <v>61</v>
      </c>
      <c r="E421" s="93">
        <v>63</v>
      </c>
      <c r="F421" s="93">
        <v>64</v>
      </c>
      <c r="G421" s="93">
        <v>62</v>
      </c>
      <c r="H421" s="97">
        <v>65</v>
      </c>
      <c r="I421" s="166"/>
      <c r="J421" s="167"/>
      <c r="K421" s="167"/>
      <c r="L421" s="167"/>
      <c r="M421" s="167"/>
      <c r="N421" s="168"/>
    </row>
    <row r="422" spans="2:14" ht="15.75" thickBot="1" x14ac:dyDescent="0.3"/>
    <row r="423" spans="2:14" ht="15.75" x14ac:dyDescent="0.25">
      <c r="B423" s="2" t="s">
        <v>0</v>
      </c>
      <c r="C423" s="175" t="s">
        <v>202</v>
      </c>
      <c r="D423" s="176"/>
      <c r="E423" s="177" t="s">
        <v>1</v>
      </c>
      <c r="F423" s="178"/>
      <c r="G423" s="11">
        <v>140</v>
      </c>
      <c r="H423" s="179" t="s">
        <v>2</v>
      </c>
      <c r="I423" s="180"/>
      <c r="J423" s="181"/>
      <c r="K423" s="13">
        <v>140</v>
      </c>
      <c r="L423" s="3"/>
      <c r="M423" s="80" t="s">
        <v>11</v>
      </c>
      <c r="N423" s="98">
        <v>45283</v>
      </c>
    </row>
    <row r="424" spans="2:14" ht="15.75" x14ac:dyDescent="0.25">
      <c r="B424" s="4" t="s">
        <v>3</v>
      </c>
      <c r="C424" s="10">
        <v>22193</v>
      </c>
      <c r="D424" s="169" t="s">
        <v>57</v>
      </c>
      <c r="E424" s="170"/>
      <c r="F424" s="171"/>
      <c r="G424" s="18">
        <v>8600</v>
      </c>
      <c r="H424" s="172" t="s">
        <v>4</v>
      </c>
      <c r="I424" s="173"/>
      <c r="J424" s="174"/>
      <c r="K424" s="10">
        <v>61</v>
      </c>
      <c r="L424" s="15"/>
      <c r="M424" s="15"/>
      <c r="N424" s="16"/>
    </row>
    <row r="425" spans="2:14" ht="15.75" x14ac:dyDescent="0.25">
      <c r="B425" s="4" t="s">
        <v>5</v>
      </c>
      <c r="C425" s="19">
        <v>72</v>
      </c>
      <c r="D425" s="169" t="s">
        <v>8</v>
      </c>
      <c r="E425" s="170"/>
      <c r="F425" s="171"/>
      <c r="G425" s="17">
        <v>0.28000000000000003</v>
      </c>
      <c r="H425" s="172" t="s">
        <v>9</v>
      </c>
      <c r="I425" s="173"/>
      <c r="J425" s="174"/>
      <c r="K425" s="12">
        <v>0.85</v>
      </c>
      <c r="L425" s="172" t="s">
        <v>6</v>
      </c>
      <c r="M425" s="174"/>
      <c r="N425" s="20">
        <v>2</v>
      </c>
    </row>
    <row r="426" spans="2:14" ht="16.5" thickBot="1" x14ac:dyDescent="0.3">
      <c r="B426" s="5"/>
      <c r="C426" s="9"/>
      <c r="D426" s="9"/>
      <c r="E426" s="9"/>
      <c r="F426" s="9"/>
      <c r="G426" s="9"/>
      <c r="H426" s="79"/>
      <c r="I426" s="21"/>
      <c r="J426" s="21"/>
      <c r="K426" s="21"/>
      <c r="L426" s="21"/>
      <c r="M426" s="21"/>
      <c r="N426" s="6"/>
    </row>
    <row r="427" spans="2:14" ht="15.75" x14ac:dyDescent="0.25">
      <c r="B427" s="7" t="s">
        <v>7</v>
      </c>
      <c r="C427" s="1">
        <v>1</v>
      </c>
      <c r="D427" s="1">
        <v>2</v>
      </c>
      <c r="E427" s="1">
        <v>3</v>
      </c>
      <c r="F427" s="1">
        <v>4</v>
      </c>
      <c r="G427" s="1">
        <v>5</v>
      </c>
      <c r="H427" s="77">
        <v>6</v>
      </c>
      <c r="I427" s="160" t="s">
        <v>226</v>
      </c>
      <c r="J427" s="161"/>
      <c r="K427" s="161"/>
      <c r="L427" s="161"/>
      <c r="M427" s="161"/>
      <c r="N427" s="162"/>
    </row>
    <row r="428" spans="2:14" ht="15.75" x14ac:dyDescent="0.25">
      <c r="B428" s="87" t="s">
        <v>10</v>
      </c>
      <c r="C428" s="19">
        <v>44</v>
      </c>
      <c r="D428" s="19">
        <v>44</v>
      </c>
      <c r="E428" s="19">
        <v>42</v>
      </c>
      <c r="F428" s="19">
        <v>43</v>
      </c>
      <c r="G428" s="19">
        <v>44</v>
      </c>
      <c r="H428" s="95">
        <v>43</v>
      </c>
      <c r="I428" s="163"/>
      <c r="J428" s="164"/>
      <c r="K428" s="164"/>
      <c r="L428" s="164"/>
      <c r="M428" s="164"/>
      <c r="N428" s="165"/>
    </row>
    <row r="429" spans="2:14" ht="16.5" thickBot="1" x14ac:dyDescent="0.3">
      <c r="B429" s="94" t="s">
        <v>12</v>
      </c>
      <c r="C429" s="93">
        <v>69</v>
      </c>
      <c r="D429" s="93">
        <v>62</v>
      </c>
      <c r="E429" s="93">
        <v>63</v>
      </c>
      <c r="F429" s="93">
        <v>66</v>
      </c>
      <c r="G429" s="93">
        <v>68</v>
      </c>
      <c r="H429" s="97">
        <v>69</v>
      </c>
      <c r="I429" s="166"/>
      <c r="J429" s="167"/>
      <c r="K429" s="167"/>
      <c r="L429" s="167"/>
      <c r="M429" s="167"/>
      <c r="N429" s="168"/>
    </row>
    <row r="430" spans="2:14" ht="15.75" thickBot="1" x14ac:dyDescent="0.3"/>
    <row r="431" spans="2:14" ht="15.75" x14ac:dyDescent="0.25">
      <c r="B431" s="2" t="s">
        <v>0</v>
      </c>
      <c r="C431" s="175" t="s">
        <v>202</v>
      </c>
      <c r="D431" s="176"/>
      <c r="E431" s="177" t="s">
        <v>1</v>
      </c>
      <c r="F431" s="178"/>
      <c r="G431" s="11">
        <v>140</v>
      </c>
      <c r="H431" s="179" t="s">
        <v>2</v>
      </c>
      <c r="I431" s="180"/>
      <c r="J431" s="181"/>
      <c r="K431" s="13">
        <v>140</v>
      </c>
      <c r="L431" s="3"/>
      <c r="M431" s="80" t="s">
        <v>11</v>
      </c>
      <c r="N431" s="98">
        <v>45288</v>
      </c>
    </row>
    <row r="432" spans="2:14" ht="15.75" x14ac:dyDescent="0.25">
      <c r="B432" s="4" t="s">
        <v>3</v>
      </c>
      <c r="C432" s="10">
        <v>22312</v>
      </c>
      <c r="D432" s="169" t="s">
        <v>57</v>
      </c>
      <c r="E432" s="170"/>
      <c r="F432" s="171"/>
      <c r="G432" s="18">
        <v>4200</v>
      </c>
      <c r="H432" s="172" t="s">
        <v>4</v>
      </c>
      <c r="I432" s="173"/>
      <c r="J432" s="174"/>
      <c r="K432" s="10">
        <v>40</v>
      </c>
      <c r="L432" s="15"/>
      <c r="M432" s="15"/>
      <c r="N432" s="16"/>
    </row>
    <row r="433" spans="2:14" ht="15.75" x14ac:dyDescent="0.25">
      <c r="B433" s="4" t="s">
        <v>5</v>
      </c>
      <c r="C433" s="19">
        <v>32</v>
      </c>
      <c r="D433" s="169" t="s">
        <v>8</v>
      </c>
      <c r="E433" s="170"/>
      <c r="F433" s="171"/>
      <c r="G433" s="17">
        <v>0.28000000000000003</v>
      </c>
      <c r="H433" s="172" t="s">
        <v>9</v>
      </c>
      <c r="I433" s="173"/>
      <c r="J433" s="174"/>
      <c r="K433" s="12">
        <v>0.85</v>
      </c>
      <c r="L433" s="172" t="s">
        <v>6</v>
      </c>
      <c r="M433" s="174"/>
      <c r="N433" s="20">
        <v>2</v>
      </c>
    </row>
    <row r="434" spans="2:14" ht="16.5" thickBot="1" x14ac:dyDescent="0.3">
      <c r="B434" s="5"/>
      <c r="C434" s="9"/>
      <c r="D434" s="9"/>
      <c r="E434" s="9"/>
      <c r="F434" s="9"/>
      <c r="G434" s="9"/>
      <c r="H434" s="79"/>
      <c r="I434" s="21"/>
      <c r="J434" s="21"/>
      <c r="K434" s="21"/>
      <c r="L434" s="21"/>
      <c r="M434" s="21"/>
      <c r="N434" s="6"/>
    </row>
    <row r="435" spans="2:14" ht="15.75" x14ac:dyDescent="0.25">
      <c r="B435" s="7" t="s">
        <v>7</v>
      </c>
      <c r="C435" s="1">
        <v>1</v>
      </c>
      <c r="D435" s="1">
        <v>2</v>
      </c>
      <c r="E435" s="1">
        <v>3</v>
      </c>
      <c r="F435" s="1">
        <v>4</v>
      </c>
      <c r="G435" s="1">
        <v>5</v>
      </c>
      <c r="H435" s="77">
        <v>6</v>
      </c>
      <c r="I435" s="160" t="s">
        <v>227</v>
      </c>
      <c r="J435" s="161"/>
      <c r="K435" s="161"/>
      <c r="L435" s="161"/>
      <c r="M435" s="161"/>
      <c r="N435" s="162"/>
    </row>
    <row r="436" spans="2:14" ht="15.75" x14ac:dyDescent="0.25">
      <c r="B436" s="87" t="s">
        <v>10</v>
      </c>
      <c r="C436" s="19">
        <v>43</v>
      </c>
      <c r="D436" s="19">
        <v>44</v>
      </c>
      <c r="E436" s="19">
        <v>44</v>
      </c>
      <c r="F436" s="19">
        <v>43</v>
      </c>
      <c r="G436" s="19">
        <v>43</v>
      </c>
      <c r="H436" s="95">
        <v>43</v>
      </c>
      <c r="I436" s="163"/>
      <c r="J436" s="164"/>
      <c r="K436" s="164"/>
      <c r="L436" s="164"/>
      <c r="M436" s="164"/>
      <c r="N436" s="165"/>
    </row>
    <row r="437" spans="2:14" ht="16.5" thickBot="1" x14ac:dyDescent="0.3">
      <c r="B437" s="94" t="s">
        <v>12</v>
      </c>
      <c r="C437" s="93">
        <v>64</v>
      </c>
      <c r="D437" s="93">
        <v>67</v>
      </c>
      <c r="E437" s="93">
        <v>65</v>
      </c>
      <c r="F437" s="93">
        <v>65</v>
      </c>
      <c r="G437" s="93">
        <v>69</v>
      </c>
      <c r="H437" s="97">
        <v>63</v>
      </c>
      <c r="I437" s="166"/>
      <c r="J437" s="167"/>
      <c r="K437" s="167"/>
      <c r="L437" s="167"/>
      <c r="M437" s="167"/>
      <c r="N437" s="168"/>
    </row>
  </sheetData>
  <mergeCells count="452">
    <mergeCell ref="C431:D431"/>
    <mergeCell ref="E431:F431"/>
    <mergeCell ref="H431:J431"/>
    <mergeCell ref="D432:F432"/>
    <mergeCell ref="H432:J432"/>
    <mergeCell ref="D433:F433"/>
    <mergeCell ref="H433:J433"/>
    <mergeCell ref="L433:M433"/>
    <mergeCell ref="I435:N437"/>
    <mergeCell ref="C415:D415"/>
    <mergeCell ref="E415:F415"/>
    <mergeCell ref="H415:J415"/>
    <mergeCell ref="D416:F416"/>
    <mergeCell ref="H416:J416"/>
    <mergeCell ref="D417:F417"/>
    <mergeCell ref="H417:J417"/>
    <mergeCell ref="L417:M417"/>
    <mergeCell ref="I419:N421"/>
    <mergeCell ref="C407:D407"/>
    <mergeCell ref="E407:F407"/>
    <mergeCell ref="H407:J407"/>
    <mergeCell ref="D408:F408"/>
    <mergeCell ref="H408:J408"/>
    <mergeCell ref="D409:F409"/>
    <mergeCell ref="H409:J409"/>
    <mergeCell ref="L409:M409"/>
    <mergeCell ref="I411:N413"/>
    <mergeCell ref="C399:D399"/>
    <mergeCell ref="E399:F399"/>
    <mergeCell ref="H399:J399"/>
    <mergeCell ref="D400:F400"/>
    <mergeCell ref="H400:J400"/>
    <mergeCell ref="D401:F401"/>
    <mergeCell ref="H401:J401"/>
    <mergeCell ref="L401:M401"/>
    <mergeCell ref="I403:N405"/>
    <mergeCell ref="C383:D383"/>
    <mergeCell ref="E383:F383"/>
    <mergeCell ref="H383:J383"/>
    <mergeCell ref="D384:F384"/>
    <mergeCell ref="H384:J384"/>
    <mergeCell ref="D385:F385"/>
    <mergeCell ref="H385:J385"/>
    <mergeCell ref="L385:M385"/>
    <mergeCell ref="I387:N389"/>
    <mergeCell ref="C359:D359"/>
    <mergeCell ref="E359:F359"/>
    <mergeCell ref="H359:J359"/>
    <mergeCell ref="D360:F360"/>
    <mergeCell ref="H360:J360"/>
    <mergeCell ref="D361:F361"/>
    <mergeCell ref="H361:J361"/>
    <mergeCell ref="L361:M361"/>
    <mergeCell ref="I363:N365"/>
    <mergeCell ref="C351:D351"/>
    <mergeCell ref="E351:F351"/>
    <mergeCell ref="H351:J351"/>
    <mergeCell ref="D352:F352"/>
    <mergeCell ref="H352:J352"/>
    <mergeCell ref="D353:F353"/>
    <mergeCell ref="H353:J353"/>
    <mergeCell ref="L353:M353"/>
    <mergeCell ref="I355:N357"/>
    <mergeCell ref="C343:D343"/>
    <mergeCell ref="E343:F343"/>
    <mergeCell ref="H343:J343"/>
    <mergeCell ref="D344:F344"/>
    <mergeCell ref="H344:J344"/>
    <mergeCell ref="D345:F345"/>
    <mergeCell ref="H345:J345"/>
    <mergeCell ref="L345:M345"/>
    <mergeCell ref="I347:N349"/>
    <mergeCell ref="C334:D334"/>
    <mergeCell ref="E334:F334"/>
    <mergeCell ref="H334:J334"/>
    <mergeCell ref="D335:F335"/>
    <mergeCell ref="H335:J335"/>
    <mergeCell ref="D336:F336"/>
    <mergeCell ref="H336:J336"/>
    <mergeCell ref="L336:M336"/>
    <mergeCell ref="I338:N340"/>
    <mergeCell ref="C325:D325"/>
    <mergeCell ref="E325:F325"/>
    <mergeCell ref="H325:J325"/>
    <mergeCell ref="D326:F326"/>
    <mergeCell ref="H326:J326"/>
    <mergeCell ref="D327:F327"/>
    <mergeCell ref="H327:J327"/>
    <mergeCell ref="L327:M327"/>
    <mergeCell ref="I329:N331"/>
    <mergeCell ref="C298:D298"/>
    <mergeCell ref="E298:F298"/>
    <mergeCell ref="H298:J298"/>
    <mergeCell ref="D299:F299"/>
    <mergeCell ref="H299:J299"/>
    <mergeCell ref="D300:F300"/>
    <mergeCell ref="H300:J300"/>
    <mergeCell ref="L300:M300"/>
    <mergeCell ref="I302:N304"/>
    <mergeCell ref="C289:D289"/>
    <mergeCell ref="E289:F289"/>
    <mergeCell ref="H289:J289"/>
    <mergeCell ref="D290:F290"/>
    <mergeCell ref="H290:J290"/>
    <mergeCell ref="D291:F291"/>
    <mergeCell ref="H291:J291"/>
    <mergeCell ref="L291:M291"/>
    <mergeCell ref="I293:N295"/>
    <mergeCell ref="C278:D278"/>
    <mergeCell ref="E278:F278"/>
    <mergeCell ref="H278:J278"/>
    <mergeCell ref="D279:F279"/>
    <mergeCell ref="H279:J279"/>
    <mergeCell ref="D280:F280"/>
    <mergeCell ref="H280:J280"/>
    <mergeCell ref="L280:M280"/>
    <mergeCell ref="I282:N284"/>
    <mergeCell ref="C267:D267"/>
    <mergeCell ref="E267:F267"/>
    <mergeCell ref="H267:J267"/>
    <mergeCell ref="D268:F268"/>
    <mergeCell ref="H268:J268"/>
    <mergeCell ref="D269:F269"/>
    <mergeCell ref="H269:J269"/>
    <mergeCell ref="L269:M269"/>
    <mergeCell ref="I271:N273"/>
    <mergeCell ref="C245:D245"/>
    <mergeCell ref="E245:F245"/>
    <mergeCell ref="H245:J245"/>
    <mergeCell ref="D246:F246"/>
    <mergeCell ref="H246:J246"/>
    <mergeCell ref="D247:F247"/>
    <mergeCell ref="H247:J247"/>
    <mergeCell ref="L247:M247"/>
    <mergeCell ref="I249:N251"/>
    <mergeCell ref="C235:D235"/>
    <mergeCell ref="E235:F235"/>
    <mergeCell ref="H235:J235"/>
    <mergeCell ref="D236:F236"/>
    <mergeCell ref="H236:J236"/>
    <mergeCell ref="D237:F237"/>
    <mergeCell ref="H237:J237"/>
    <mergeCell ref="L237:M237"/>
    <mergeCell ref="I239:N241"/>
    <mergeCell ref="C225:D225"/>
    <mergeCell ref="E225:F225"/>
    <mergeCell ref="H225:J225"/>
    <mergeCell ref="D226:F226"/>
    <mergeCell ref="H226:J226"/>
    <mergeCell ref="D227:F227"/>
    <mergeCell ref="H227:J227"/>
    <mergeCell ref="L227:M227"/>
    <mergeCell ref="I229:N231"/>
    <mergeCell ref="C198:D198"/>
    <mergeCell ref="E198:F198"/>
    <mergeCell ref="H198:J198"/>
    <mergeCell ref="D199:F199"/>
    <mergeCell ref="H199:J199"/>
    <mergeCell ref="D200:F200"/>
    <mergeCell ref="H200:J200"/>
    <mergeCell ref="L200:M200"/>
    <mergeCell ref="I202:N204"/>
    <mergeCell ref="C167:D167"/>
    <mergeCell ref="E167:F167"/>
    <mergeCell ref="H167:J167"/>
    <mergeCell ref="D168:F168"/>
    <mergeCell ref="H168:J168"/>
    <mergeCell ref="D169:F169"/>
    <mergeCell ref="H169:J169"/>
    <mergeCell ref="L169:M169"/>
    <mergeCell ref="I171:N173"/>
    <mergeCell ref="C158:D158"/>
    <mergeCell ref="E158:F158"/>
    <mergeCell ref="H158:J158"/>
    <mergeCell ref="D159:F159"/>
    <mergeCell ref="H159:J159"/>
    <mergeCell ref="D160:F160"/>
    <mergeCell ref="H160:J160"/>
    <mergeCell ref="L160:M160"/>
    <mergeCell ref="I162:N164"/>
    <mergeCell ref="C149:D149"/>
    <mergeCell ref="E149:F149"/>
    <mergeCell ref="H149:J149"/>
    <mergeCell ref="D150:F150"/>
    <mergeCell ref="H150:J150"/>
    <mergeCell ref="D151:F151"/>
    <mergeCell ref="H151:J151"/>
    <mergeCell ref="L151:M151"/>
    <mergeCell ref="I153:N155"/>
    <mergeCell ref="C140:D140"/>
    <mergeCell ref="E140:F140"/>
    <mergeCell ref="H140:J140"/>
    <mergeCell ref="D141:F141"/>
    <mergeCell ref="H141:J141"/>
    <mergeCell ref="D142:F142"/>
    <mergeCell ref="H142:J142"/>
    <mergeCell ref="L142:M142"/>
    <mergeCell ref="I144:N146"/>
    <mergeCell ref="C100:D100"/>
    <mergeCell ref="E100:F100"/>
    <mergeCell ref="H100:J100"/>
    <mergeCell ref="D101:F101"/>
    <mergeCell ref="H101:J101"/>
    <mergeCell ref="D102:F102"/>
    <mergeCell ref="H102:J102"/>
    <mergeCell ref="L102:M102"/>
    <mergeCell ref="I104:N106"/>
    <mergeCell ref="C92:D92"/>
    <mergeCell ref="E92:F92"/>
    <mergeCell ref="H92:J92"/>
    <mergeCell ref="D93:F93"/>
    <mergeCell ref="H93:J93"/>
    <mergeCell ref="D94:F94"/>
    <mergeCell ref="H94:J94"/>
    <mergeCell ref="L94:M94"/>
    <mergeCell ref="I96:N98"/>
    <mergeCell ref="D70:F70"/>
    <mergeCell ref="H70:J70"/>
    <mergeCell ref="L70:M70"/>
    <mergeCell ref="I72:N74"/>
    <mergeCell ref="C68:D68"/>
    <mergeCell ref="E68:F68"/>
    <mergeCell ref="H68:J68"/>
    <mergeCell ref="D69:F69"/>
    <mergeCell ref="H69:J69"/>
    <mergeCell ref="D62:F62"/>
    <mergeCell ref="H62:J62"/>
    <mergeCell ref="L62:M62"/>
    <mergeCell ref="I64:N66"/>
    <mergeCell ref="C60:D60"/>
    <mergeCell ref="E60:F60"/>
    <mergeCell ref="H60:J60"/>
    <mergeCell ref="D61:F61"/>
    <mergeCell ref="H61:J61"/>
    <mergeCell ref="D54:F54"/>
    <mergeCell ref="H54:J54"/>
    <mergeCell ref="L54:M54"/>
    <mergeCell ref="I56:N58"/>
    <mergeCell ref="C52:D52"/>
    <mergeCell ref="E52:F52"/>
    <mergeCell ref="H52:J52"/>
    <mergeCell ref="D53:F53"/>
    <mergeCell ref="H53:J53"/>
    <mergeCell ref="D46:F46"/>
    <mergeCell ref="H46:J46"/>
    <mergeCell ref="L46:M46"/>
    <mergeCell ref="I48:N50"/>
    <mergeCell ref="C44:D44"/>
    <mergeCell ref="E44:F44"/>
    <mergeCell ref="H44:J44"/>
    <mergeCell ref="D45:F45"/>
    <mergeCell ref="H45:J45"/>
    <mergeCell ref="D30:F30"/>
    <mergeCell ref="H30:J30"/>
    <mergeCell ref="L30:M30"/>
    <mergeCell ref="I32:N34"/>
    <mergeCell ref="C28:D28"/>
    <mergeCell ref="E28:F28"/>
    <mergeCell ref="H28:J28"/>
    <mergeCell ref="D29:F29"/>
    <mergeCell ref="H29:J29"/>
    <mergeCell ref="D22:F22"/>
    <mergeCell ref="H22:J22"/>
    <mergeCell ref="L22:M22"/>
    <mergeCell ref="I24:N26"/>
    <mergeCell ref="C20:D20"/>
    <mergeCell ref="E20:F20"/>
    <mergeCell ref="H20:J20"/>
    <mergeCell ref="D21:F21"/>
    <mergeCell ref="H21:J21"/>
    <mergeCell ref="D6:F6"/>
    <mergeCell ref="H6:J6"/>
    <mergeCell ref="L6:M6"/>
    <mergeCell ref="I8:N10"/>
    <mergeCell ref="C2:E2"/>
    <mergeCell ref="G2:N2"/>
    <mergeCell ref="C4:D4"/>
    <mergeCell ref="E4:F4"/>
    <mergeCell ref="H4:J4"/>
    <mergeCell ref="D5:F5"/>
    <mergeCell ref="H5:J5"/>
    <mergeCell ref="D14:F14"/>
    <mergeCell ref="H14:J14"/>
    <mergeCell ref="L14:M14"/>
    <mergeCell ref="I16:N18"/>
    <mergeCell ref="C12:D12"/>
    <mergeCell ref="E12:F12"/>
    <mergeCell ref="H12:J12"/>
    <mergeCell ref="D13:F13"/>
    <mergeCell ref="H13:J13"/>
    <mergeCell ref="D38:F38"/>
    <mergeCell ref="H38:J38"/>
    <mergeCell ref="L38:M38"/>
    <mergeCell ref="I40:N42"/>
    <mergeCell ref="C36:D36"/>
    <mergeCell ref="E36:F36"/>
    <mergeCell ref="H36:J36"/>
    <mergeCell ref="D37:F37"/>
    <mergeCell ref="H37:J37"/>
    <mergeCell ref="D78:F78"/>
    <mergeCell ref="H78:J78"/>
    <mergeCell ref="L78:M78"/>
    <mergeCell ref="I80:N82"/>
    <mergeCell ref="C76:D76"/>
    <mergeCell ref="E76:F76"/>
    <mergeCell ref="H76:J76"/>
    <mergeCell ref="D77:F77"/>
    <mergeCell ref="H77:J77"/>
    <mergeCell ref="D86:F86"/>
    <mergeCell ref="H86:J86"/>
    <mergeCell ref="L86:M86"/>
    <mergeCell ref="I88:N90"/>
    <mergeCell ref="C84:D84"/>
    <mergeCell ref="E84:F84"/>
    <mergeCell ref="H84:J84"/>
    <mergeCell ref="D85:F85"/>
    <mergeCell ref="H85:J85"/>
    <mergeCell ref="C108:D108"/>
    <mergeCell ref="E108:F108"/>
    <mergeCell ref="H108:J108"/>
    <mergeCell ref="D109:F109"/>
    <mergeCell ref="H109:J109"/>
    <mergeCell ref="D110:F110"/>
    <mergeCell ref="H110:J110"/>
    <mergeCell ref="L110:M110"/>
    <mergeCell ref="I112:N114"/>
    <mergeCell ref="C116:D116"/>
    <mergeCell ref="E116:F116"/>
    <mergeCell ref="H116:J116"/>
    <mergeCell ref="D117:F117"/>
    <mergeCell ref="H117:J117"/>
    <mergeCell ref="D118:F118"/>
    <mergeCell ref="H118:J118"/>
    <mergeCell ref="L118:M118"/>
    <mergeCell ref="I120:N122"/>
    <mergeCell ref="C124:D124"/>
    <mergeCell ref="E124:F124"/>
    <mergeCell ref="H124:J124"/>
    <mergeCell ref="D125:F125"/>
    <mergeCell ref="H125:J125"/>
    <mergeCell ref="D126:F126"/>
    <mergeCell ref="H126:J126"/>
    <mergeCell ref="L126:M126"/>
    <mergeCell ref="I128:N130"/>
    <mergeCell ref="C132:D132"/>
    <mergeCell ref="E132:F132"/>
    <mergeCell ref="H132:J132"/>
    <mergeCell ref="D133:F133"/>
    <mergeCell ref="H133:J133"/>
    <mergeCell ref="D134:F134"/>
    <mergeCell ref="H134:J134"/>
    <mergeCell ref="L134:M134"/>
    <mergeCell ref="I136:N138"/>
    <mergeCell ref="C176:D176"/>
    <mergeCell ref="E176:F176"/>
    <mergeCell ref="H176:J176"/>
    <mergeCell ref="D177:F177"/>
    <mergeCell ref="H177:J177"/>
    <mergeCell ref="D178:F178"/>
    <mergeCell ref="H178:J178"/>
    <mergeCell ref="L178:M178"/>
    <mergeCell ref="I180:N182"/>
    <mergeCell ref="C188:D188"/>
    <mergeCell ref="E188:F188"/>
    <mergeCell ref="H188:J188"/>
    <mergeCell ref="D189:F189"/>
    <mergeCell ref="H189:J189"/>
    <mergeCell ref="D190:F190"/>
    <mergeCell ref="H190:J190"/>
    <mergeCell ref="L190:M190"/>
    <mergeCell ref="I192:N194"/>
    <mergeCell ref="C207:D207"/>
    <mergeCell ref="E207:F207"/>
    <mergeCell ref="H207:J207"/>
    <mergeCell ref="D208:F208"/>
    <mergeCell ref="H208:J208"/>
    <mergeCell ref="D209:F209"/>
    <mergeCell ref="H209:J209"/>
    <mergeCell ref="L209:M209"/>
    <mergeCell ref="I211:N213"/>
    <mergeCell ref="C216:D216"/>
    <mergeCell ref="E216:F216"/>
    <mergeCell ref="H216:J216"/>
    <mergeCell ref="D217:F217"/>
    <mergeCell ref="H217:J217"/>
    <mergeCell ref="D218:F218"/>
    <mergeCell ref="H218:J218"/>
    <mergeCell ref="L218:M218"/>
    <mergeCell ref="I220:N222"/>
    <mergeCell ref="C256:D256"/>
    <mergeCell ref="E256:F256"/>
    <mergeCell ref="H256:J256"/>
    <mergeCell ref="D257:F257"/>
    <mergeCell ref="H257:J257"/>
    <mergeCell ref="D258:F258"/>
    <mergeCell ref="H258:J258"/>
    <mergeCell ref="L258:M258"/>
    <mergeCell ref="I260:N262"/>
    <mergeCell ref="C307:D307"/>
    <mergeCell ref="E307:F307"/>
    <mergeCell ref="H307:J307"/>
    <mergeCell ref="D308:F308"/>
    <mergeCell ref="H308:J308"/>
    <mergeCell ref="D309:F309"/>
    <mergeCell ref="H309:J309"/>
    <mergeCell ref="L309:M309"/>
    <mergeCell ref="I311:N313"/>
    <mergeCell ref="C316:D316"/>
    <mergeCell ref="E316:F316"/>
    <mergeCell ref="H316:J316"/>
    <mergeCell ref="D317:F317"/>
    <mergeCell ref="H317:J317"/>
    <mergeCell ref="D318:F318"/>
    <mergeCell ref="H318:J318"/>
    <mergeCell ref="L318:M318"/>
    <mergeCell ref="I320:N322"/>
    <mergeCell ref="C367:D367"/>
    <mergeCell ref="E367:F367"/>
    <mergeCell ref="H367:J367"/>
    <mergeCell ref="D368:F368"/>
    <mergeCell ref="H368:J368"/>
    <mergeCell ref="D369:F369"/>
    <mergeCell ref="H369:J369"/>
    <mergeCell ref="L369:M369"/>
    <mergeCell ref="I371:N373"/>
    <mergeCell ref="C375:D375"/>
    <mergeCell ref="E375:F375"/>
    <mergeCell ref="H375:J375"/>
    <mergeCell ref="D376:F376"/>
    <mergeCell ref="H376:J376"/>
    <mergeCell ref="D377:F377"/>
    <mergeCell ref="H377:J377"/>
    <mergeCell ref="L377:M377"/>
    <mergeCell ref="I379:N381"/>
    <mergeCell ref="C391:D391"/>
    <mergeCell ref="E391:F391"/>
    <mergeCell ref="H391:J391"/>
    <mergeCell ref="D392:F392"/>
    <mergeCell ref="H392:J392"/>
    <mergeCell ref="D393:F393"/>
    <mergeCell ref="H393:J393"/>
    <mergeCell ref="L393:M393"/>
    <mergeCell ref="I395:N397"/>
    <mergeCell ref="C423:D423"/>
    <mergeCell ref="E423:F423"/>
    <mergeCell ref="H423:J423"/>
    <mergeCell ref="D424:F424"/>
    <mergeCell ref="H424:J424"/>
    <mergeCell ref="D425:F425"/>
    <mergeCell ref="H425:J425"/>
    <mergeCell ref="L425:M425"/>
    <mergeCell ref="I427:N429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4F9EB83C5734F942ED33CC5FF7E72" ma:contentTypeVersion="13" ma:contentTypeDescription="Create a new document." ma:contentTypeScope="" ma:versionID="88e48940756f90077d2ecf22beb55dab">
  <xsd:schema xmlns:xsd="http://www.w3.org/2001/XMLSchema" xmlns:xs="http://www.w3.org/2001/XMLSchema" xmlns:p="http://schemas.microsoft.com/office/2006/metadata/properties" xmlns:ns2="9e0b2cde-f0c5-4cfa-ac39-a8c72dc4a10c" xmlns:ns3="1991475e-0448-4b33-b97e-6f56e6add515" targetNamespace="http://schemas.microsoft.com/office/2006/metadata/properties" ma:root="true" ma:fieldsID="7b40dc36812f900c99af63d35fd123b2" ns2:_="" ns3:_="">
    <xsd:import namespace="9e0b2cde-f0c5-4cfa-ac39-a8c72dc4a10c"/>
    <xsd:import namespace="1991475e-0448-4b33-b97e-6f56e6add51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2cde-f0c5-4cfa-ac39-a8c72dc4a10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eac947cb-277c-4275-91ae-076aa11df73e}" ma:internalName="TaxCatchAll" ma:showField="CatchAllData" ma:web="9e0b2cde-f0c5-4cfa-ac39-a8c72dc4a1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1475e-0448-4b33-b97e-6f56e6add5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68d69b0-367c-4581-9a1c-153291279b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0b2cde-f0c5-4cfa-ac39-a8c72dc4a10c" xsi:nil="true"/>
    <lcf76f155ced4ddcb4097134ff3c332f xmlns="1991475e-0448-4b33-b97e-6f56e6add515">
      <Terms xmlns="http://schemas.microsoft.com/office/infopath/2007/PartnerControls"/>
    </lcf76f155ced4ddcb4097134ff3c332f>
    <_dlc_DocId xmlns="9e0b2cde-f0c5-4cfa-ac39-a8c72dc4a10c">AUFVSSM5FAAJ-1880207320-1804732</_dlc_DocId>
    <_dlc_DocIdUrl xmlns="9e0b2cde-f0c5-4cfa-ac39-a8c72dc4a10c">
      <Url>https://osmthomegroup.sharepoint.com/sites/TMFRONTCRUISER/_layouts/15/DocIdRedir.aspx?ID=AUFVSSM5FAAJ-1880207320-1804732</Url>
      <Description>AUFVSSM5FAAJ-1880207320-1804732</Description>
    </_dlc_DocIdUrl>
  </documentManagement>
</p:properties>
</file>

<file path=customXml/itemProps1.xml><?xml version="1.0" encoding="utf-8"?>
<ds:datastoreItem xmlns:ds="http://schemas.openxmlformats.org/officeDocument/2006/customXml" ds:itemID="{C121EF47-E452-4DC9-843A-B48D259DCA59}"/>
</file>

<file path=customXml/itemProps2.xml><?xml version="1.0" encoding="utf-8"?>
<ds:datastoreItem xmlns:ds="http://schemas.openxmlformats.org/officeDocument/2006/customXml" ds:itemID="{13161633-CEB1-4E87-99DB-A45B6969E7D4}"/>
</file>

<file path=customXml/itemProps3.xml><?xml version="1.0" encoding="utf-8"?>
<ds:datastoreItem xmlns:ds="http://schemas.openxmlformats.org/officeDocument/2006/customXml" ds:itemID="{B38F26B8-2E57-4A2A-B4FF-9E5D46FE386A}"/>
</file>

<file path=customXml/itemProps4.xml><?xml version="1.0" encoding="utf-8"?>
<ds:datastoreItem xmlns:ds="http://schemas.openxmlformats.org/officeDocument/2006/customXml" ds:itemID="{6CEA32B9-EDC6-4EA8-B4AF-128BB71E45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 2026</vt:lpstr>
      <vt:lpstr>Drain oil rec</vt:lpstr>
      <vt:lpstr>Feed rate calc</vt:lpstr>
      <vt:lpstr>Log 2025</vt:lpstr>
      <vt:lpstr>Log 2021</vt:lpstr>
      <vt:lpstr>Log 2022</vt:lpstr>
      <vt:lpstr>Log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JMenendez</dc:creator>
  <cp:lastModifiedBy>Front Cruiser</cp:lastModifiedBy>
  <cp:lastPrinted>2016-07-02T08:48:32Z</cp:lastPrinted>
  <dcterms:created xsi:type="dcterms:W3CDTF">2013-06-13T17:26:15Z</dcterms:created>
  <dcterms:modified xsi:type="dcterms:W3CDTF">2026-01-03T19:26:12Z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0x0101007BF4F9EB83C5734F942ED33CC5FF7E72</vt:lpwstr>
  </property>
  <property fmtid="{D5CDD505-2E9C-101B-9397-08002B2CF9AE}" pid="3" name="_dlc_DocIdItemGuid">
    <vt:lpwstr>0813f89a-41f9-4afb-8fc7-d957b312f731</vt:lpwstr>
  </property>
</Properties>
</file>